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727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f03a6d94298c684/Documents/Envi Sci - GEC E1/"/>
    </mc:Choice>
  </mc:AlternateContent>
  <xr:revisionPtr revIDLastSave="253" documentId="13_ncr:1_{F55DA7D8-D026-4254-86A0-3DA635AC66A0}" xr6:coauthVersionLast="43" xr6:coauthVersionMax="47" xr10:uidLastSave="{F34FBF6E-6836-4628-8EA7-EE8824B4A3E3}"/>
  <bookViews>
    <workbookView xWindow="-108" yWindow="-108" windowWidth="23256" windowHeight="12456" activeTab="6" xr2:uid="{00000000-000D-0000-FFFF-FFFF00000000}"/>
  </bookViews>
  <sheets>
    <sheet name="INC" sheetId="36" r:id="rId1"/>
    <sheet name="HVACR" sheetId="40" r:id="rId2"/>
    <sheet name="AT" sheetId="38" r:id="rId3"/>
    <sheet name="ET " sheetId="39" r:id="rId4"/>
    <sheet name="BIO" sheetId="27" r:id="rId5"/>
    <sheet name="GS HVACR" sheetId="15" r:id="rId6"/>
    <sheet name="CT 2H&amp;1D" sheetId="41" r:id="rId7"/>
    <sheet name="GS AT 1D" sheetId="32" r:id="rId8"/>
    <sheet name="GS ET" sheetId="31" r:id="rId9"/>
    <sheet name="GS BIO" sheetId="33" r:id="rId10"/>
  </sheets>
  <definedNames>
    <definedName name="_xlnm._FilterDatabase" localSheetId="6" hidden="1">'CT 2H&amp;1D'!$A$19:$K$22</definedName>
    <definedName name="_xlnm._FilterDatabase" localSheetId="7" hidden="1">'GS AT 1D'!$A$19:$K$67</definedName>
    <definedName name="_xlnm._FilterDatabase" localSheetId="9" hidden="1">'GS BIO'!$A$19:$K$55</definedName>
    <definedName name="_xlnm._FilterDatabase" localSheetId="8" hidden="1">'GS ET'!$A$19:$K$66</definedName>
    <definedName name="_xlnm._FilterDatabase" localSheetId="5" hidden="1">'GS HVACR'!$A$19:$K$78</definedName>
    <definedName name="_xlnm._FilterDatabase" localSheetId="0" hidden="1">INC!$A$19:$K$54</definedName>
    <definedName name="_xlnm.Print_Area" localSheetId="4">BIO!$A$1:$BL$53</definedName>
    <definedName name="_xlnm.Print_Area" localSheetId="6">'CT 2H&amp;1D'!$A$1:$K$87</definedName>
    <definedName name="_xlnm.Print_Area" localSheetId="3">'ET '!$A$1:$BL$68</definedName>
    <definedName name="_xlnm.Print_Area" localSheetId="7">'GS AT 1D'!$A$1:$K$93</definedName>
    <definedName name="_xlnm.Print_Area" localSheetId="9">'GS BIO'!$A$1:$K$80</definedName>
    <definedName name="_xlnm.Print_Area" localSheetId="8">'GS ET'!$A$1:$K$102</definedName>
    <definedName name="_xlnm.Print_Area" localSheetId="5">'GS HVACR'!$A$1:$K$155</definedName>
    <definedName name="_xlnm.Print_Area" localSheetId="1">HVACR!$A$1:$BL$80</definedName>
    <definedName name="_xlnm.Print_Area" localSheetId="0">INC!$A$1:$K$96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H57" i="39" l="1"/>
  <c r="BG57" i="39"/>
  <c r="BD57" i="39"/>
  <c r="BE57" i="39" s="1"/>
  <c r="AG57" i="39"/>
  <c r="AF57" i="39"/>
  <c r="AC57" i="39"/>
  <c r="AD57" i="39" s="1"/>
  <c r="P57" i="39"/>
  <c r="J57" i="39"/>
  <c r="BG67" i="38"/>
  <c r="BH67" i="38" s="1"/>
  <c r="BD67" i="38"/>
  <c r="BE67" i="38" s="1"/>
  <c r="AP67" i="38"/>
  <c r="AZ67" i="38"/>
  <c r="BA67" i="38" s="1"/>
  <c r="BB67" i="38" s="1"/>
  <c r="AT67" i="38"/>
  <c r="AO67" i="38"/>
  <c r="AJ67" i="38"/>
  <c r="AF67" i="38"/>
  <c r="AG67" i="38" s="1"/>
  <c r="AC67" i="38"/>
  <c r="AD67" i="38" s="1"/>
  <c r="Y67" i="38"/>
  <c r="Z67" i="38" s="1"/>
  <c r="AA67" i="38" s="1"/>
  <c r="T67" i="38"/>
  <c r="U67" i="38" s="1"/>
  <c r="M67" i="38"/>
  <c r="N67" i="38" s="1"/>
  <c r="F67" i="38"/>
  <c r="G67" i="38" s="1"/>
  <c r="BG68" i="38"/>
  <c r="BH68" i="38" s="1"/>
  <c r="BD68" i="38"/>
  <c r="BE68" i="38" s="1"/>
  <c r="AZ68" i="38"/>
  <c r="BA68" i="38" s="1"/>
  <c r="BB68" i="38" s="1"/>
  <c r="AT68" i="38"/>
  <c r="AU68" i="38" s="1"/>
  <c r="AV68" i="38" s="1"/>
  <c r="AO68" i="38"/>
  <c r="AP68" i="38" s="1"/>
  <c r="AQ68" i="38" s="1"/>
  <c r="AJ68" i="38"/>
  <c r="AK68" i="38" s="1"/>
  <c r="AL68" i="38" s="1"/>
  <c r="AF68" i="38"/>
  <c r="AG68" i="38" s="1"/>
  <c r="AC68" i="38"/>
  <c r="AD68" i="38" s="1"/>
  <c r="Z68" i="38"/>
  <c r="AA68" i="38"/>
  <c r="Y68" i="38"/>
  <c r="T68" i="38"/>
  <c r="U68" i="38" s="1"/>
  <c r="V68" i="38" s="1"/>
  <c r="N68" i="38"/>
  <c r="O68" i="38" s="1"/>
  <c r="M68" i="38"/>
  <c r="F68" i="38"/>
  <c r="G68" i="38" s="1"/>
  <c r="AL12" i="40"/>
  <c r="BD14" i="40"/>
  <c r="AK12" i="40"/>
  <c r="AK11" i="40"/>
  <c r="BG11" i="40"/>
  <c r="BH11" i="40" s="1"/>
  <c r="BD11" i="40"/>
  <c r="AU11" i="40"/>
  <c r="AP11" i="40"/>
  <c r="N11" i="40"/>
  <c r="BE11" i="40"/>
  <c r="AZ11" i="40"/>
  <c r="BA11" i="40" s="1"/>
  <c r="BB11" i="40" s="1"/>
  <c r="AT11" i="40"/>
  <c r="AO11" i="40"/>
  <c r="AJ11" i="40"/>
  <c r="AF11" i="40"/>
  <c r="AG11" i="40" s="1"/>
  <c r="AC11" i="40"/>
  <c r="AD11" i="40" s="1"/>
  <c r="Y11" i="40"/>
  <c r="Z11" i="40" s="1"/>
  <c r="AA11" i="40" s="1"/>
  <c r="T11" i="40"/>
  <c r="U11" i="40" s="1"/>
  <c r="P11" i="40"/>
  <c r="M11" i="40"/>
  <c r="J11" i="40"/>
  <c r="F11" i="40"/>
  <c r="G11" i="40" s="1"/>
  <c r="G22" i="15"/>
  <c r="G59" i="32"/>
  <c r="J58" i="32"/>
  <c r="J46" i="32"/>
  <c r="G47" i="31"/>
  <c r="BJ68" i="38" l="1"/>
  <c r="H68" i="38"/>
  <c r="BI68" i="38" s="1"/>
  <c r="AU67" i="38"/>
  <c r="AV67" i="38" s="1"/>
  <c r="AK67" i="38"/>
  <c r="AL67" i="38" s="1"/>
  <c r="BJ67" i="38" s="1"/>
  <c r="AQ67" i="38"/>
  <c r="V67" i="38"/>
  <c r="O67" i="38"/>
  <c r="H67" i="38"/>
  <c r="O11" i="40"/>
  <c r="AV11" i="40"/>
  <c r="AQ11" i="40"/>
  <c r="V11" i="40"/>
  <c r="H11" i="40"/>
  <c r="BI11" i="40" s="1"/>
  <c r="G36" i="15"/>
  <c r="G37" i="15"/>
  <c r="G38" i="15"/>
  <c r="G72" i="15"/>
  <c r="G77" i="15"/>
  <c r="G78" i="15"/>
  <c r="G46" i="15"/>
  <c r="G50" i="15"/>
  <c r="G51" i="15"/>
  <c r="G56" i="15"/>
  <c r="G58" i="15"/>
  <c r="G59" i="15"/>
  <c r="G65" i="15"/>
  <c r="G67" i="15"/>
  <c r="G70" i="15"/>
  <c r="G25" i="15"/>
  <c r="G28" i="15"/>
  <c r="G35" i="15"/>
  <c r="G45" i="15"/>
  <c r="J49" i="32"/>
  <c r="J67" i="32"/>
  <c r="J69" i="32"/>
  <c r="J70" i="32"/>
  <c r="J56" i="32"/>
  <c r="J57" i="32"/>
  <c r="J60" i="32"/>
  <c r="J61" i="32"/>
  <c r="J62" i="32"/>
  <c r="J63" i="32"/>
  <c r="J65" i="32"/>
  <c r="J66" i="32"/>
  <c r="J40" i="32"/>
  <c r="J41" i="32"/>
  <c r="J42" i="32"/>
  <c r="J43" i="32"/>
  <c r="J44" i="32"/>
  <c r="J45" i="32"/>
  <c r="J47" i="32"/>
  <c r="J48" i="32"/>
  <c r="J50" i="32"/>
  <c r="J51" i="32"/>
  <c r="J52" i="32"/>
  <c r="J53" i="32"/>
  <c r="J54" i="32"/>
  <c r="J55" i="32"/>
  <c r="J23" i="32"/>
  <c r="J24" i="32"/>
  <c r="J25" i="32"/>
  <c r="J26" i="32"/>
  <c r="J27" i="32"/>
  <c r="J28" i="32"/>
  <c r="J29" i="32"/>
  <c r="J30" i="32"/>
  <c r="J31" i="32"/>
  <c r="J32" i="32"/>
  <c r="J33" i="32"/>
  <c r="J34" i="32"/>
  <c r="J35" i="32"/>
  <c r="J36" i="32"/>
  <c r="J37" i="32"/>
  <c r="J22" i="32"/>
  <c r="BD12" i="38"/>
  <c r="BK68" i="38" l="1"/>
  <c r="BI67" i="38"/>
  <c r="BK67" i="38" s="1"/>
  <c r="BK11" i="40"/>
  <c r="G25" i="32"/>
  <c r="G27" i="32"/>
  <c r="G28" i="32"/>
  <c r="G34" i="32"/>
  <c r="G37" i="32"/>
  <c r="G40" i="32"/>
  <c r="G42" i="32"/>
  <c r="G43" i="32"/>
  <c r="G44" i="32"/>
  <c r="G46" i="32"/>
  <c r="G48" i="32"/>
  <c r="G49" i="32"/>
  <c r="G51" i="32"/>
  <c r="G53" i="32"/>
  <c r="G54" i="32"/>
  <c r="G55" i="32"/>
  <c r="G56" i="32"/>
  <c r="G61" i="32"/>
  <c r="G63" i="32"/>
  <c r="G67" i="32"/>
  <c r="G69" i="32"/>
  <c r="G70" i="32"/>
  <c r="G23" i="32"/>
  <c r="G22" i="31"/>
  <c r="G23" i="31"/>
  <c r="G26" i="31"/>
  <c r="G27" i="31"/>
  <c r="G28" i="31"/>
  <c r="G29" i="31"/>
  <c r="G31" i="31"/>
  <c r="G32" i="31"/>
  <c r="G34" i="31"/>
  <c r="G36" i="31"/>
  <c r="G40" i="31"/>
  <c r="G43" i="31"/>
  <c r="G44" i="31"/>
  <c r="G45" i="31"/>
  <c r="G48" i="31"/>
  <c r="G52" i="31"/>
  <c r="G56" i="31"/>
  <c r="G58" i="31"/>
  <c r="G59" i="31"/>
  <c r="G63" i="31"/>
  <c r="G65" i="31"/>
  <c r="G25" i="33" l="1"/>
  <c r="G26" i="33"/>
  <c r="G28" i="33"/>
  <c r="G30" i="33"/>
  <c r="G31" i="33"/>
  <c r="G33" i="33"/>
  <c r="G34" i="33"/>
  <c r="G35" i="33"/>
  <c r="G36" i="33"/>
  <c r="G39" i="33"/>
  <c r="G44" i="33"/>
  <c r="G45" i="33"/>
  <c r="G49" i="33"/>
  <c r="G50" i="33"/>
  <c r="G51" i="33"/>
  <c r="G52" i="33"/>
  <c r="BG11" i="27"/>
  <c r="BG16" i="27" l="1"/>
  <c r="BD39" i="27"/>
  <c r="BD21" i="27"/>
  <c r="BD36" i="39" l="1"/>
  <c r="BE36" i="39" s="1"/>
  <c r="BG56" i="38" l="1"/>
  <c r="BG72" i="38"/>
  <c r="AJ18" i="40" l="1"/>
  <c r="AZ23" i="38" l="1"/>
  <c r="AZ40" i="38" l="1"/>
  <c r="AT38" i="39" l="1"/>
  <c r="AZ54" i="40"/>
  <c r="BD50" i="38" l="1"/>
  <c r="AZ59" i="40" l="1"/>
  <c r="BG12" i="40"/>
  <c r="BH12" i="40" s="1"/>
  <c r="Y33" i="40"/>
  <c r="AZ38" i="39" l="1"/>
  <c r="AZ36" i="39"/>
  <c r="BA36" i="39" s="1"/>
  <c r="BB36" i="39" s="1"/>
  <c r="AT36" i="39"/>
  <c r="AU36" i="39" s="1"/>
  <c r="AV36" i="39" s="1"/>
  <c r="AJ30" i="39"/>
  <c r="AT30" i="39"/>
  <c r="AU71" i="38"/>
  <c r="BG38" i="27" l="1"/>
  <c r="BH38" i="27" s="1"/>
  <c r="BG29" i="27"/>
  <c r="F30" i="27"/>
  <c r="G30" i="27" s="1"/>
  <c r="H30" i="27" s="1"/>
  <c r="J30" i="27"/>
  <c r="M30" i="27"/>
  <c r="N30" i="27" s="1"/>
  <c r="O30" i="27" s="1"/>
  <c r="P30" i="27"/>
  <c r="T30" i="27"/>
  <c r="U30" i="27" s="1"/>
  <c r="V30" i="27" s="1"/>
  <c r="Y30" i="27"/>
  <c r="Z30" i="27" s="1"/>
  <c r="AA30" i="27" s="1"/>
  <c r="AC30" i="27"/>
  <c r="AD30" i="27" s="1"/>
  <c r="AF30" i="27"/>
  <c r="AG30" i="27" s="1"/>
  <c r="AJ30" i="27"/>
  <c r="AK30" i="27" s="1"/>
  <c r="AL30" i="27" s="1"/>
  <c r="AO30" i="27"/>
  <c r="AP30" i="27" s="1"/>
  <c r="AQ30" i="27" s="1"/>
  <c r="AT30" i="27"/>
  <c r="AU30" i="27" s="1"/>
  <c r="AV30" i="27" s="1"/>
  <c r="BA30" i="27"/>
  <c r="BB30" i="27" s="1"/>
  <c r="BD30" i="27"/>
  <c r="BE30" i="27" s="1"/>
  <c r="BG30" i="27"/>
  <c r="BH30" i="27" s="1"/>
  <c r="F31" i="27"/>
  <c r="G31" i="27" s="1"/>
  <c r="H31" i="27" s="1"/>
  <c r="J31" i="27"/>
  <c r="M31" i="27"/>
  <c r="N31" i="27" s="1"/>
  <c r="O31" i="27" s="1"/>
  <c r="P31" i="27"/>
  <c r="T31" i="27"/>
  <c r="U31" i="27" s="1"/>
  <c r="V31" i="27" s="1"/>
  <c r="Y31" i="27"/>
  <c r="Z31" i="27" s="1"/>
  <c r="AA31" i="27" s="1"/>
  <c r="AC31" i="27"/>
  <c r="AD31" i="27" s="1"/>
  <c r="AF31" i="27"/>
  <c r="AG31" i="27" s="1"/>
  <c r="AJ31" i="27"/>
  <c r="AK31" i="27" s="1"/>
  <c r="AL31" i="27" s="1"/>
  <c r="AO31" i="27"/>
  <c r="AP31" i="27" s="1"/>
  <c r="AQ31" i="27" s="1"/>
  <c r="AT31" i="27"/>
  <c r="AU31" i="27" s="1"/>
  <c r="AV31" i="27" s="1"/>
  <c r="AZ31" i="27"/>
  <c r="BA31" i="27" s="1"/>
  <c r="BB31" i="27" s="1"/>
  <c r="BD31" i="27"/>
  <c r="BE31" i="27" s="1"/>
  <c r="BG31" i="27"/>
  <c r="BH31" i="27" s="1"/>
  <c r="F32" i="27"/>
  <c r="G32" i="27" s="1"/>
  <c r="H32" i="27" s="1"/>
  <c r="J32" i="27"/>
  <c r="M32" i="27"/>
  <c r="N32" i="27" s="1"/>
  <c r="O32" i="27" s="1"/>
  <c r="P32" i="27"/>
  <c r="T32" i="27"/>
  <c r="U32" i="27" s="1"/>
  <c r="V32" i="27" s="1"/>
  <c r="Y32" i="27"/>
  <c r="Z32" i="27" s="1"/>
  <c r="AA32" i="27" s="1"/>
  <c r="AC32" i="27"/>
  <c r="AD32" i="27" s="1"/>
  <c r="AF32" i="27"/>
  <c r="AG32" i="27" s="1"/>
  <c r="AJ32" i="27"/>
  <c r="AK32" i="27" s="1"/>
  <c r="AL32" i="27" s="1"/>
  <c r="AO32" i="27"/>
  <c r="AP32" i="27" s="1"/>
  <c r="AQ32" i="27" s="1"/>
  <c r="AT32" i="27"/>
  <c r="AU32" i="27" s="1"/>
  <c r="AV32" i="27" s="1"/>
  <c r="AZ32" i="27"/>
  <c r="BA32" i="27" s="1"/>
  <c r="BB32" i="27" s="1"/>
  <c r="BD32" i="27"/>
  <c r="BE32" i="27" s="1"/>
  <c r="BG32" i="27"/>
  <c r="BH32" i="27" s="1"/>
  <c r="F33" i="27"/>
  <c r="G33" i="27" s="1"/>
  <c r="H33" i="27" s="1"/>
  <c r="J33" i="27"/>
  <c r="M33" i="27"/>
  <c r="N33" i="27" s="1"/>
  <c r="O33" i="27" s="1"/>
  <c r="P33" i="27"/>
  <c r="T33" i="27"/>
  <c r="U33" i="27" s="1"/>
  <c r="V33" i="27" s="1"/>
  <c r="Y33" i="27"/>
  <c r="Z33" i="27" s="1"/>
  <c r="AA33" i="27" s="1"/>
  <c r="AC33" i="27"/>
  <c r="AD33" i="27" s="1"/>
  <c r="AF33" i="27"/>
  <c r="AG33" i="27" s="1"/>
  <c r="AJ33" i="27"/>
  <c r="AK33" i="27" s="1"/>
  <c r="AL33" i="27" s="1"/>
  <c r="AO33" i="27"/>
  <c r="AP33" i="27" s="1"/>
  <c r="AQ33" i="27" s="1"/>
  <c r="AT33" i="27"/>
  <c r="AU33" i="27" s="1"/>
  <c r="AV33" i="27" s="1"/>
  <c r="AZ33" i="27"/>
  <c r="BA33" i="27" s="1"/>
  <c r="BB33" i="27" s="1"/>
  <c r="BD33" i="27"/>
  <c r="BE33" i="27" s="1"/>
  <c r="BG33" i="27"/>
  <c r="BH33" i="27" s="1"/>
  <c r="F34" i="27"/>
  <c r="G34" i="27" s="1"/>
  <c r="H34" i="27" s="1"/>
  <c r="J34" i="27"/>
  <c r="M34" i="27"/>
  <c r="N34" i="27" s="1"/>
  <c r="O34" i="27" s="1"/>
  <c r="P34" i="27"/>
  <c r="T34" i="27"/>
  <c r="U34" i="27" s="1"/>
  <c r="V34" i="27" s="1"/>
  <c r="Y34" i="27"/>
  <c r="Z34" i="27" s="1"/>
  <c r="AA34" i="27" s="1"/>
  <c r="AC34" i="27"/>
  <c r="AD34" i="27" s="1"/>
  <c r="AF34" i="27"/>
  <c r="AG34" i="27" s="1"/>
  <c r="AJ34" i="27"/>
  <c r="AK34" i="27" s="1"/>
  <c r="AL34" i="27" s="1"/>
  <c r="AO34" i="27"/>
  <c r="AP34" i="27" s="1"/>
  <c r="AQ34" i="27" s="1"/>
  <c r="AT34" i="27"/>
  <c r="AU34" i="27" s="1"/>
  <c r="AV34" i="27" s="1"/>
  <c r="AZ34" i="27"/>
  <c r="BA34" i="27" s="1"/>
  <c r="BB34" i="27" s="1"/>
  <c r="BD34" i="27"/>
  <c r="BE34" i="27" s="1"/>
  <c r="BG34" i="27"/>
  <c r="BH34" i="27" s="1"/>
  <c r="F35" i="27"/>
  <c r="G35" i="27" s="1"/>
  <c r="H35" i="27" s="1"/>
  <c r="J35" i="27"/>
  <c r="M35" i="27"/>
  <c r="N35" i="27" s="1"/>
  <c r="O35" i="27" s="1"/>
  <c r="P35" i="27"/>
  <c r="T35" i="27"/>
  <c r="U35" i="27" s="1"/>
  <c r="V35" i="27" s="1"/>
  <c r="Y35" i="27"/>
  <c r="Z35" i="27" s="1"/>
  <c r="AA35" i="27" s="1"/>
  <c r="AC35" i="27"/>
  <c r="AD35" i="27" s="1"/>
  <c r="AF35" i="27"/>
  <c r="AG35" i="27" s="1"/>
  <c r="AJ35" i="27"/>
  <c r="AK35" i="27" s="1"/>
  <c r="AL35" i="27" s="1"/>
  <c r="AO35" i="27"/>
  <c r="AP35" i="27" s="1"/>
  <c r="AQ35" i="27" s="1"/>
  <c r="AT35" i="27"/>
  <c r="AU35" i="27" s="1"/>
  <c r="AV35" i="27" s="1"/>
  <c r="AZ35" i="27"/>
  <c r="BA35" i="27" s="1"/>
  <c r="BB35" i="27" s="1"/>
  <c r="BD35" i="27"/>
  <c r="BE35" i="27" s="1"/>
  <c r="BG35" i="27"/>
  <c r="BH35" i="27" s="1"/>
  <c r="F36" i="27"/>
  <c r="G36" i="27" s="1"/>
  <c r="H36" i="27" s="1"/>
  <c r="J36" i="27"/>
  <c r="M36" i="27"/>
  <c r="N36" i="27" s="1"/>
  <c r="O36" i="27" s="1"/>
  <c r="P36" i="27"/>
  <c r="T36" i="27"/>
  <c r="U36" i="27" s="1"/>
  <c r="V36" i="27" s="1"/>
  <c r="Y36" i="27"/>
  <c r="Z36" i="27" s="1"/>
  <c r="AA36" i="27" s="1"/>
  <c r="AC36" i="27"/>
  <c r="AD36" i="27" s="1"/>
  <c r="AF36" i="27"/>
  <c r="AG36" i="27" s="1"/>
  <c r="AJ36" i="27"/>
  <c r="AK36" i="27" s="1"/>
  <c r="AL36" i="27" s="1"/>
  <c r="AO36" i="27"/>
  <c r="AP36" i="27" s="1"/>
  <c r="AQ36" i="27" s="1"/>
  <c r="AT36" i="27"/>
  <c r="AU36" i="27" s="1"/>
  <c r="AV36" i="27" s="1"/>
  <c r="AZ36" i="27"/>
  <c r="BA36" i="27" s="1"/>
  <c r="BB36" i="27" s="1"/>
  <c r="BD36" i="27"/>
  <c r="BE36" i="27" s="1"/>
  <c r="BG36" i="27"/>
  <c r="BH36" i="27" s="1"/>
  <c r="F37" i="27"/>
  <c r="G37" i="27" s="1"/>
  <c r="H37" i="27" s="1"/>
  <c r="J37" i="27"/>
  <c r="M37" i="27"/>
  <c r="N37" i="27" s="1"/>
  <c r="O37" i="27" s="1"/>
  <c r="P37" i="27"/>
  <c r="T37" i="27"/>
  <c r="U37" i="27" s="1"/>
  <c r="V37" i="27" s="1"/>
  <c r="Y37" i="27"/>
  <c r="Z37" i="27" s="1"/>
  <c r="AA37" i="27" s="1"/>
  <c r="AC37" i="27"/>
  <c r="AD37" i="27" s="1"/>
  <c r="AF37" i="27"/>
  <c r="AG37" i="27" s="1"/>
  <c r="AJ37" i="27"/>
  <c r="AK37" i="27" s="1"/>
  <c r="AL37" i="27" s="1"/>
  <c r="AO37" i="27"/>
  <c r="AP37" i="27" s="1"/>
  <c r="AQ37" i="27" s="1"/>
  <c r="AT37" i="27"/>
  <c r="AU37" i="27" s="1"/>
  <c r="AV37" i="27" s="1"/>
  <c r="AZ37" i="27"/>
  <c r="BA37" i="27" s="1"/>
  <c r="BB37" i="27" s="1"/>
  <c r="BD37" i="27"/>
  <c r="BE37" i="27" s="1"/>
  <c r="BG37" i="27"/>
  <c r="BH37" i="27" s="1"/>
  <c r="F38" i="27"/>
  <c r="G38" i="27" s="1"/>
  <c r="H38" i="27" s="1"/>
  <c r="J38" i="27"/>
  <c r="M38" i="27"/>
  <c r="N38" i="27" s="1"/>
  <c r="O38" i="27" s="1"/>
  <c r="P38" i="27"/>
  <c r="T38" i="27"/>
  <c r="U38" i="27" s="1"/>
  <c r="V38" i="27" s="1"/>
  <c r="Y38" i="27"/>
  <c r="Z38" i="27" s="1"/>
  <c r="AA38" i="27" s="1"/>
  <c r="AC38" i="27"/>
  <c r="AD38" i="27" s="1"/>
  <c r="AF38" i="27"/>
  <c r="AG38" i="27" s="1"/>
  <c r="AJ38" i="27"/>
  <c r="AK38" i="27" s="1"/>
  <c r="AL38" i="27" s="1"/>
  <c r="AO38" i="27"/>
  <c r="AP38" i="27" s="1"/>
  <c r="AQ38" i="27" s="1"/>
  <c r="AT38" i="27"/>
  <c r="AU38" i="27" s="1"/>
  <c r="AV38" i="27" s="1"/>
  <c r="AZ38" i="27"/>
  <c r="BA38" i="27" s="1"/>
  <c r="BB38" i="27" s="1"/>
  <c r="BD38" i="27"/>
  <c r="BE38" i="27" s="1"/>
  <c r="F39" i="27"/>
  <c r="G39" i="27" s="1"/>
  <c r="H39" i="27" s="1"/>
  <c r="J39" i="27"/>
  <c r="M39" i="27"/>
  <c r="N39" i="27" s="1"/>
  <c r="O39" i="27" s="1"/>
  <c r="P39" i="27"/>
  <c r="T39" i="27"/>
  <c r="U39" i="27" s="1"/>
  <c r="V39" i="27" s="1"/>
  <c r="Y39" i="27"/>
  <c r="Z39" i="27" s="1"/>
  <c r="AA39" i="27" s="1"/>
  <c r="AC39" i="27"/>
  <c r="AD39" i="27" s="1"/>
  <c r="AF39" i="27"/>
  <c r="AG39" i="27" s="1"/>
  <c r="AJ39" i="27"/>
  <c r="AK39" i="27" s="1"/>
  <c r="AL39" i="27" s="1"/>
  <c r="AO39" i="27"/>
  <c r="AP39" i="27" s="1"/>
  <c r="AQ39" i="27" s="1"/>
  <c r="AT39" i="27"/>
  <c r="AU39" i="27" s="1"/>
  <c r="AV39" i="27" s="1"/>
  <c r="AZ39" i="27"/>
  <c r="BA39" i="27" s="1"/>
  <c r="BB39" i="27" s="1"/>
  <c r="BE39" i="27"/>
  <c r="BG39" i="27"/>
  <c r="BH39" i="27" s="1"/>
  <c r="F40" i="27"/>
  <c r="G40" i="27" s="1"/>
  <c r="H40" i="27" s="1"/>
  <c r="J40" i="27"/>
  <c r="M40" i="27"/>
  <c r="N40" i="27" s="1"/>
  <c r="O40" i="27" s="1"/>
  <c r="P40" i="27"/>
  <c r="T40" i="27"/>
  <c r="U40" i="27" s="1"/>
  <c r="V40" i="27" s="1"/>
  <c r="Y40" i="27"/>
  <c r="Z40" i="27" s="1"/>
  <c r="AA40" i="27" s="1"/>
  <c r="AC40" i="27"/>
  <c r="AD40" i="27" s="1"/>
  <c r="AF40" i="27"/>
  <c r="AG40" i="27" s="1"/>
  <c r="AJ40" i="27"/>
  <c r="AK40" i="27" s="1"/>
  <c r="AL40" i="27" s="1"/>
  <c r="AO40" i="27"/>
  <c r="AP40" i="27" s="1"/>
  <c r="AQ40" i="27" s="1"/>
  <c r="AT40" i="27"/>
  <c r="AU40" i="27" s="1"/>
  <c r="AV40" i="27" s="1"/>
  <c r="AZ40" i="27"/>
  <c r="BA40" i="27" s="1"/>
  <c r="BB40" i="27" s="1"/>
  <c r="BD40" i="27"/>
  <c r="BE40" i="27" s="1"/>
  <c r="BG40" i="27"/>
  <c r="BH40" i="27" s="1"/>
  <c r="F41" i="27"/>
  <c r="G41" i="27" s="1"/>
  <c r="H41" i="27" s="1"/>
  <c r="J41" i="27"/>
  <c r="M41" i="27"/>
  <c r="N41" i="27" s="1"/>
  <c r="O41" i="27" s="1"/>
  <c r="P41" i="27"/>
  <c r="T41" i="27"/>
  <c r="U41" i="27" s="1"/>
  <c r="V41" i="27" s="1"/>
  <c r="Y41" i="27"/>
  <c r="Z41" i="27" s="1"/>
  <c r="AA41" i="27" s="1"/>
  <c r="AC41" i="27"/>
  <c r="AD41" i="27" s="1"/>
  <c r="AF41" i="27"/>
  <c r="AG41" i="27" s="1"/>
  <c r="AJ41" i="27"/>
  <c r="AK41" i="27" s="1"/>
  <c r="AL41" i="27" s="1"/>
  <c r="AO41" i="27"/>
  <c r="AP41" i="27" s="1"/>
  <c r="AQ41" i="27" s="1"/>
  <c r="AT41" i="27"/>
  <c r="AU41" i="27" s="1"/>
  <c r="AV41" i="27" s="1"/>
  <c r="AZ41" i="27"/>
  <c r="BA41" i="27" s="1"/>
  <c r="BB41" i="27" s="1"/>
  <c r="BD41" i="27"/>
  <c r="BE41" i="27" s="1"/>
  <c r="BG41" i="27"/>
  <c r="BH41" i="27" s="1"/>
  <c r="F42" i="27"/>
  <c r="G42" i="27" s="1"/>
  <c r="H42" i="27" s="1"/>
  <c r="M42" i="27"/>
  <c r="N42" i="27" s="1"/>
  <c r="O42" i="27" s="1"/>
  <c r="T42" i="27"/>
  <c r="U42" i="27" s="1"/>
  <c r="V42" i="27" s="1"/>
  <c r="Y42" i="27"/>
  <c r="Z42" i="27" s="1"/>
  <c r="AA42" i="27" s="1"/>
  <c r="AC42" i="27"/>
  <c r="AD42" i="27" s="1"/>
  <c r="AF42" i="27"/>
  <c r="AG42" i="27" s="1"/>
  <c r="AJ42" i="27"/>
  <c r="AK42" i="27" s="1"/>
  <c r="AL42" i="27" s="1"/>
  <c r="AO42" i="27"/>
  <c r="AP42" i="27" s="1"/>
  <c r="AQ42" i="27" s="1"/>
  <c r="AT42" i="27"/>
  <c r="AU42" i="27" s="1"/>
  <c r="AV42" i="27" s="1"/>
  <c r="AZ42" i="27"/>
  <c r="BA42" i="27" s="1"/>
  <c r="BB42" i="27" s="1"/>
  <c r="BD42" i="27"/>
  <c r="BE42" i="27" s="1"/>
  <c r="BG42" i="27"/>
  <c r="BH42" i="27" s="1"/>
  <c r="F43" i="27"/>
  <c r="G43" i="27" s="1"/>
  <c r="H43" i="27" s="1"/>
  <c r="J43" i="27"/>
  <c r="M43" i="27"/>
  <c r="N43" i="27" s="1"/>
  <c r="O43" i="27" s="1"/>
  <c r="P43" i="27"/>
  <c r="T43" i="27"/>
  <c r="U43" i="27" s="1"/>
  <c r="V43" i="27" s="1"/>
  <c r="Y43" i="27"/>
  <c r="Z43" i="27" s="1"/>
  <c r="AA43" i="27" s="1"/>
  <c r="AC43" i="27"/>
  <c r="AD43" i="27" s="1"/>
  <c r="AF43" i="27"/>
  <c r="AG43" i="27" s="1"/>
  <c r="AJ43" i="27"/>
  <c r="AK43" i="27" s="1"/>
  <c r="AL43" i="27" s="1"/>
  <c r="AO43" i="27"/>
  <c r="AP43" i="27" s="1"/>
  <c r="AQ43" i="27" s="1"/>
  <c r="AT43" i="27"/>
  <c r="AU43" i="27" s="1"/>
  <c r="AV43" i="27" s="1"/>
  <c r="AZ43" i="27"/>
  <c r="BA43" i="27" s="1"/>
  <c r="BB43" i="27" s="1"/>
  <c r="BD43" i="27"/>
  <c r="BE43" i="27" s="1"/>
  <c r="BG43" i="27"/>
  <c r="BH43" i="27" s="1"/>
  <c r="BJ36" i="27" l="1"/>
  <c r="BJ35" i="27"/>
  <c r="BI43" i="27"/>
  <c r="BI41" i="27"/>
  <c r="BJ31" i="27"/>
  <c r="BJ40" i="27"/>
  <c r="BI39" i="27"/>
  <c r="BJ37" i="27"/>
  <c r="BJ34" i="27"/>
  <c r="BJ42" i="27"/>
  <c r="BJ38" i="27"/>
  <c r="BI37" i="27"/>
  <c r="BJ33" i="27"/>
  <c r="BJ43" i="27"/>
  <c r="BJ41" i="27"/>
  <c r="BI38" i="27"/>
  <c r="BI33" i="27"/>
  <c r="BI32" i="27"/>
  <c r="BJ30" i="27"/>
  <c r="BI40" i="27"/>
  <c r="BJ39" i="27"/>
  <c r="BI34" i="27"/>
  <c r="BJ32" i="27"/>
  <c r="BI31" i="27"/>
  <c r="BI30" i="27"/>
  <c r="BI42" i="27"/>
  <c r="BI35" i="27"/>
  <c r="BI36" i="27"/>
  <c r="BG59" i="38"/>
  <c r="BG58" i="38"/>
  <c r="BG57" i="38"/>
  <c r="BG55" i="38"/>
  <c r="BG73" i="38"/>
  <c r="BG71" i="38"/>
  <c r="BK32" i="27" l="1"/>
  <c r="BK30" i="27"/>
  <c r="BK40" i="27"/>
  <c r="BK36" i="27"/>
  <c r="BK31" i="27"/>
  <c r="BK33" i="27"/>
  <c r="BK41" i="27"/>
  <c r="BK42" i="27"/>
  <c r="BK39" i="27"/>
  <c r="BK37" i="27"/>
  <c r="BK35" i="27"/>
  <c r="BK34" i="27"/>
  <c r="BK38" i="27"/>
  <c r="AT16" i="39"/>
  <c r="AZ34" i="40" l="1"/>
  <c r="AJ47" i="38" l="1"/>
  <c r="AJ30" i="38"/>
  <c r="AJ18" i="38"/>
  <c r="AZ33" i="40" l="1"/>
  <c r="BD12" i="40" l="1"/>
  <c r="BE12" i="40"/>
  <c r="AZ12" i="40"/>
  <c r="BA12" i="40" s="1"/>
  <c r="BB12" i="40" s="1"/>
  <c r="AT12" i="40" l="1"/>
  <c r="AU12" i="40" s="1"/>
  <c r="AV12" i="40" s="1"/>
  <c r="AO12" i="40"/>
  <c r="AP12" i="40" s="1"/>
  <c r="AQ12" i="40" s="1"/>
  <c r="AZ30" i="39" l="1"/>
  <c r="BG36" i="39" l="1"/>
  <c r="BH36" i="39" s="1"/>
  <c r="Y33" i="39"/>
  <c r="AC33" i="38" l="1"/>
  <c r="Y48" i="38"/>
  <c r="Y70" i="38"/>
  <c r="Y71" i="38"/>
  <c r="Y72" i="38"/>
  <c r="Y73" i="38"/>
  <c r="Y18" i="38"/>
  <c r="Y18" i="40" l="1"/>
  <c r="AZ40" i="40"/>
  <c r="AZ41" i="40"/>
  <c r="AZ42" i="40"/>
  <c r="AZ43" i="40"/>
  <c r="AZ44" i="40"/>
  <c r="AZ45" i="40"/>
  <c r="AZ46" i="40"/>
  <c r="AZ47" i="40"/>
  <c r="AZ48" i="40"/>
  <c r="AZ49" i="40"/>
  <c r="AZ51" i="40"/>
  <c r="AZ52" i="40"/>
  <c r="BD53" i="40"/>
  <c r="BG68" i="40" l="1"/>
  <c r="BH68" i="40" s="1"/>
  <c r="BG67" i="40"/>
  <c r="BH67" i="40" s="1"/>
  <c r="BG66" i="40"/>
  <c r="BH66" i="40" s="1"/>
  <c r="BG65" i="40"/>
  <c r="BH65" i="40" s="1"/>
  <c r="BG64" i="40"/>
  <c r="BH64" i="40" s="1"/>
  <c r="BG63" i="40"/>
  <c r="BH63" i="40" s="1"/>
  <c r="BG62" i="40"/>
  <c r="BH62" i="40" s="1"/>
  <c r="BG61" i="40"/>
  <c r="BH61" i="40" s="1"/>
  <c r="BG60" i="40"/>
  <c r="BH60" i="40" s="1"/>
  <c r="BG59" i="40"/>
  <c r="BH59" i="40" s="1"/>
  <c r="BG58" i="40"/>
  <c r="BH58" i="40" s="1"/>
  <c r="BG57" i="40"/>
  <c r="BH57" i="40" s="1"/>
  <c r="BG56" i="40"/>
  <c r="BH56" i="40" s="1"/>
  <c r="BG55" i="40"/>
  <c r="BH55" i="40" s="1"/>
  <c r="BG54" i="40"/>
  <c r="BH54" i="40" s="1"/>
  <c r="BG53" i="40"/>
  <c r="BH53" i="40" s="1"/>
  <c r="BG52" i="40"/>
  <c r="BH52" i="40" s="1"/>
  <c r="BG51" i="40"/>
  <c r="BH51" i="40" s="1"/>
  <c r="BG50" i="40"/>
  <c r="BH50" i="40" s="1"/>
  <c r="BG49" i="40"/>
  <c r="BH49" i="40" s="1"/>
  <c r="BG48" i="40"/>
  <c r="BH48" i="40" s="1"/>
  <c r="BG47" i="40"/>
  <c r="BH47" i="40" s="1"/>
  <c r="BG46" i="40"/>
  <c r="BH46" i="40" s="1"/>
  <c r="BG45" i="40"/>
  <c r="BH45" i="40" s="1"/>
  <c r="BG44" i="40"/>
  <c r="BH44" i="40" s="1"/>
  <c r="BG43" i="40"/>
  <c r="BH43" i="40" s="1"/>
  <c r="BG42" i="40"/>
  <c r="BH42" i="40" s="1"/>
  <c r="BG41" i="40"/>
  <c r="BH41" i="40" s="1"/>
  <c r="BG40" i="40"/>
  <c r="BH40" i="40" s="1"/>
  <c r="BG39" i="40"/>
  <c r="BH39" i="40" s="1"/>
  <c r="BG38" i="40"/>
  <c r="BH38" i="40" s="1"/>
  <c r="BG37" i="40"/>
  <c r="BH37" i="40" s="1"/>
  <c r="BG36" i="40"/>
  <c r="BH36" i="40" s="1"/>
  <c r="BG35" i="40"/>
  <c r="BH35" i="40" s="1"/>
  <c r="BG34" i="40"/>
  <c r="BH34" i="40" s="1"/>
  <c r="BG33" i="40"/>
  <c r="BH33" i="40" s="1"/>
  <c r="BG32" i="40"/>
  <c r="BH32" i="40" s="1"/>
  <c r="BG31" i="40"/>
  <c r="BH31" i="40" s="1"/>
  <c r="BG30" i="40"/>
  <c r="BH30" i="40" s="1"/>
  <c r="BG29" i="40"/>
  <c r="BH29" i="40" s="1"/>
  <c r="BG28" i="40"/>
  <c r="BH28" i="40" s="1"/>
  <c r="BG27" i="40"/>
  <c r="BH27" i="40" s="1"/>
  <c r="BG26" i="40"/>
  <c r="BH26" i="40" s="1"/>
  <c r="BG25" i="40"/>
  <c r="BH25" i="40" s="1"/>
  <c r="BG24" i="40"/>
  <c r="BH24" i="40" s="1"/>
  <c r="BG23" i="40"/>
  <c r="BH23" i="40" s="1"/>
  <c r="BG22" i="40"/>
  <c r="BH22" i="40" s="1"/>
  <c r="BG21" i="40"/>
  <c r="BH21" i="40" s="1"/>
  <c r="BG20" i="40"/>
  <c r="BH20" i="40" s="1"/>
  <c r="BG19" i="40"/>
  <c r="BH19" i="40" s="1"/>
  <c r="BG18" i="40"/>
  <c r="BH18" i="40" s="1"/>
  <c r="BG17" i="40"/>
  <c r="BH17" i="40" s="1"/>
  <c r="BG16" i="40"/>
  <c r="BH16" i="40" s="1"/>
  <c r="BG15" i="40"/>
  <c r="BH15" i="40" s="1"/>
  <c r="BG14" i="40"/>
  <c r="BH14" i="40" s="1"/>
  <c r="BG13" i="40"/>
  <c r="BH13" i="40" s="1"/>
  <c r="AF21" i="27" l="1"/>
  <c r="AF22" i="27"/>
  <c r="AF23" i="27"/>
  <c r="AF24" i="27"/>
  <c r="AF25" i="27"/>
  <c r="AF26" i="27"/>
  <c r="AF27" i="27"/>
  <c r="AF28" i="27"/>
  <c r="AF29" i="27"/>
  <c r="AF20" i="27"/>
  <c r="AF19" i="27"/>
  <c r="AF18" i="27"/>
  <c r="AF17" i="27"/>
  <c r="AF16" i="27"/>
  <c r="AF15" i="27"/>
  <c r="AF14" i="27"/>
  <c r="AF12" i="27"/>
  <c r="AF11" i="27"/>
  <c r="AJ12" i="40" l="1"/>
  <c r="AF12" i="40"/>
  <c r="AG12" i="40" s="1"/>
  <c r="AC12" i="40"/>
  <c r="AD12" i="40" s="1"/>
  <c r="G12" i="40"/>
  <c r="H12" i="40" s="1"/>
  <c r="Y18" i="39" l="1"/>
  <c r="F47" i="38"/>
  <c r="Y34" i="40" l="1"/>
  <c r="M16" i="40" l="1"/>
  <c r="M17" i="40"/>
  <c r="AZ12" i="38" l="1"/>
  <c r="AZ13" i="38"/>
  <c r="AZ14" i="38"/>
  <c r="AZ15" i="38"/>
  <c r="AZ16" i="38"/>
  <c r="AZ17" i="38"/>
  <c r="AZ18" i="38"/>
  <c r="AZ19" i="38"/>
  <c r="AZ21" i="38"/>
  <c r="AZ25" i="38"/>
  <c r="AZ26" i="38"/>
  <c r="AZ29" i="38"/>
  <c r="AZ30" i="38"/>
  <c r="AZ31" i="38"/>
  <c r="AZ32" i="38"/>
  <c r="AZ33" i="38"/>
  <c r="AZ35" i="38"/>
  <c r="AZ36" i="38"/>
  <c r="AZ37" i="38"/>
  <c r="AZ38" i="38"/>
  <c r="AZ39" i="38"/>
  <c r="AZ41" i="38"/>
  <c r="AZ42" i="38"/>
  <c r="AZ43" i="38"/>
  <c r="AZ44" i="38"/>
  <c r="AZ45" i="38"/>
  <c r="AZ46" i="38"/>
  <c r="AZ47" i="38"/>
  <c r="AZ48" i="38"/>
  <c r="AZ49" i="38"/>
  <c r="AZ50" i="38"/>
  <c r="AZ51" i="38"/>
  <c r="AZ54" i="38"/>
  <c r="AZ55" i="38"/>
  <c r="AZ56" i="38"/>
  <c r="AZ58" i="38"/>
  <c r="AZ59" i="38"/>
  <c r="AZ70" i="38"/>
  <c r="AZ71" i="38"/>
  <c r="AZ72" i="38"/>
  <c r="AZ73" i="38"/>
  <c r="AT12" i="38"/>
  <c r="AT13" i="38"/>
  <c r="AT14" i="38"/>
  <c r="AT15" i="38"/>
  <c r="AT16" i="38"/>
  <c r="AT17" i="38"/>
  <c r="AT18" i="38"/>
  <c r="AT19" i="38"/>
  <c r="AT21" i="38"/>
  <c r="AT23" i="38"/>
  <c r="AT24" i="38"/>
  <c r="AT25" i="38"/>
  <c r="AT26" i="38"/>
  <c r="AT29" i="38"/>
  <c r="AT30" i="38"/>
  <c r="AT31" i="38"/>
  <c r="AT32" i="38"/>
  <c r="AT35" i="38"/>
  <c r="AT36" i="38"/>
  <c r="AT37" i="38"/>
  <c r="AT38" i="38"/>
  <c r="AT39" i="38"/>
  <c r="AT40" i="38"/>
  <c r="AT41" i="38"/>
  <c r="AT42" i="38"/>
  <c r="AT43" i="38"/>
  <c r="AT44" i="38"/>
  <c r="AT45" i="38"/>
  <c r="AT46" i="38"/>
  <c r="AT47" i="38"/>
  <c r="AT48" i="38"/>
  <c r="AT49" i="38"/>
  <c r="AT50" i="38"/>
  <c r="AT51" i="38"/>
  <c r="AT52" i="38"/>
  <c r="AT54" i="38"/>
  <c r="AT55" i="38"/>
  <c r="AT56" i="38"/>
  <c r="AT58" i="38"/>
  <c r="AT59" i="38"/>
  <c r="AT70" i="38"/>
  <c r="AT72" i="38"/>
  <c r="AT73" i="38"/>
  <c r="BG25" i="27"/>
  <c r="AZ15" i="27"/>
  <c r="AZ16" i="27"/>
  <c r="AZ17" i="27"/>
  <c r="AZ18" i="27"/>
  <c r="AZ19" i="27"/>
  <c r="AZ20" i="27"/>
  <c r="AZ21" i="27"/>
  <c r="AZ22" i="27"/>
  <c r="AZ23" i="27"/>
  <c r="AZ24" i="27"/>
  <c r="AZ25" i="27"/>
  <c r="AZ26" i="27"/>
  <c r="AZ28" i="27"/>
  <c r="AZ29" i="27"/>
  <c r="AT15" i="27"/>
  <c r="AU15" i="27" s="1"/>
  <c r="AT16" i="27"/>
  <c r="AT17" i="27"/>
  <c r="AT18" i="27"/>
  <c r="AT19" i="27"/>
  <c r="AT20" i="27"/>
  <c r="AT21" i="27"/>
  <c r="AT22" i="27"/>
  <c r="AT23" i="27"/>
  <c r="AT24" i="27"/>
  <c r="AT25" i="27"/>
  <c r="AT26" i="27"/>
  <c r="AU26" i="27" s="1"/>
  <c r="AV26" i="27" s="1"/>
  <c r="AT28" i="27"/>
  <c r="AT29" i="27"/>
  <c r="AO15" i="27"/>
  <c r="AO16" i="27"/>
  <c r="AO17" i="27"/>
  <c r="AO18" i="27"/>
  <c r="AO19" i="27"/>
  <c r="AO20" i="27"/>
  <c r="AO21" i="27"/>
  <c r="AO22" i="27"/>
  <c r="AO23" i="27"/>
  <c r="AO24" i="27"/>
  <c r="AO25" i="27"/>
  <c r="AO26" i="27"/>
  <c r="AO28" i="27"/>
  <c r="AO29" i="27"/>
  <c r="AO14" i="27"/>
  <c r="AJ14" i="27"/>
  <c r="AJ15" i="27"/>
  <c r="AJ16" i="27"/>
  <c r="AJ17" i="27"/>
  <c r="AJ18" i="27"/>
  <c r="AJ19" i="27"/>
  <c r="AJ20" i="27"/>
  <c r="AJ21" i="27"/>
  <c r="AJ22" i="27"/>
  <c r="AJ23" i="27"/>
  <c r="AJ24" i="27"/>
  <c r="AJ25" i="27"/>
  <c r="AJ26" i="27"/>
  <c r="AJ28" i="27"/>
  <c r="AJ29" i="27"/>
  <c r="BD17" i="40" l="1"/>
  <c r="BD16" i="40"/>
  <c r="BE16" i="40" s="1"/>
  <c r="BD68" i="40"/>
  <c r="BD67" i="40"/>
  <c r="BE67" i="40" s="1"/>
  <c r="AZ67" i="40"/>
  <c r="BA67" i="40" s="1"/>
  <c r="BB67" i="40" s="1"/>
  <c r="AZ68" i="40"/>
  <c r="AT16" i="40"/>
  <c r="AU16" i="40" s="1"/>
  <c r="AV16" i="40" s="1"/>
  <c r="AT17" i="40"/>
  <c r="AT18" i="40"/>
  <c r="AT19" i="40"/>
  <c r="AT20" i="40"/>
  <c r="AT21" i="40"/>
  <c r="AT22" i="40"/>
  <c r="AT23" i="40"/>
  <c r="AT24" i="40"/>
  <c r="AT25" i="40"/>
  <c r="AT26" i="40"/>
  <c r="AT27" i="40"/>
  <c r="AT28" i="40"/>
  <c r="AT29" i="40"/>
  <c r="AT30" i="40"/>
  <c r="AT31" i="40"/>
  <c r="AT32" i="40"/>
  <c r="AT33" i="40"/>
  <c r="AT34" i="40"/>
  <c r="AT35" i="40"/>
  <c r="AT36" i="40"/>
  <c r="AT37" i="40"/>
  <c r="AT39" i="40"/>
  <c r="AT40" i="40"/>
  <c r="AT41" i="40"/>
  <c r="AT42" i="40"/>
  <c r="AT43" i="40"/>
  <c r="AT44" i="40"/>
  <c r="AT45" i="40"/>
  <c r="AT46" i="40"/>
  <c r="AT47" i="40"/>
  <c r="AT48" i="40"/>
  <c r="AT49" i="40"/>
  <c r="AT51" i="40"/>
  <c r="AT52" i="40"/>
  <c r="AT53" i="40"/>
  <c r="AT54" i="40"/>
  <c r="AT55" i="40"/>
  <c r="AT56" i="40"/>
  <c r="AT57" i="40"/>
  <c r="AT58" i="40"/>
  <c r="AT59" i="40"/>
  <c r="AT60" i="40"/>
  <c r="AT61" i="40"/>
  <c r="AT62" i="40"/>
  <c r="AT64" i="40"/>
  <c r="AT66" i="40"/>
  <c r="AT67" i="40"/>
  <c r="AU67" i="40" s="1"/>
  <c r="AV67" i="40" s="1"/>
  <c r="AT68" i="40"/>
  <c r="AO16" i="40"/>
  <c r="AP16" i="40" s="1"/>
  <c r="AQ16" i="40" s="1"/>
  <c r="AO17" i="40"/>
  <c r="AZ13" i="40"/>
  <c r="AZ14" i="40"/>
  <c r="AZ15" i="40"/>
  <c r="AZ16" i="40"/>
  <c r="BA16" i="40" s="1"/>
  <c r="BB16" i="40" s="1"/>
  <c r="AZ17" i="40"/>
  <c r="AZ18" i="40"/>
  <c r="AZ19" i="40"/>
  <c r="AZ20" i="40"/>
  <c r="AZ21" i="40"/>
  <c r="T16" i="40"/>
  <c r="AF16" i="40"/>
  <c r="AG16" i="40" s="1"/>
  <c r="AC16" i="40"/>
  <c r="AD16" i="40" s="1"/>
  <c r="AJ13" i="40"/>
  <c r="AJ14" i="40"/>
  <c r="AJ15" i="40"/>
  <c r="AJ16" i="40"/>
  <c r="AK16" i="40" s="1"/>
  <c r="AL16" i="40" s="1"/>
  <c r="AJ17" i="40"/>
  <c r="AJ19" i="40"/>
  <c r="AJ20" i="40"/>
  <c r="AJ21" i="40"/>
  <c r="AJ22" i="40"/>
  <c r="AJ23" i="40"/>
  <c r="AJ24" i="40"/>
  <c r="AJ25" i="40"/>
  <c r="AJ26" i="40"/>
  <c r="AJ27" i="40"/>
  <c r="AJ28" i="40"/>
  <c r="AJ29" i="40"/>
  <c r="AJ30" i="40"/>
  <c r="AJ31" i="40"/>
  <c r="AJ32" i="40"/>
  <c r="AJ33" i="40"/>
  <c r="AJ34" i="40"/>
  <c r="AJ35" i="40"/>
  <c r="AJ36" i="40"/>
  <c r="AJ37" i="40"/>
  <c r="AJ39" i="40"/>
  <c r="AJ40" i="40"/>
  <c r="AJ41" i="40"/>
  <c r="AJ42" i="40"/>
  <c r="AJ43" i="40"/>
  <c r="AJ44" i="40"/>
  <c r="AJ45" i="40"/>
  <c r="AJ46" i="40"/>
  <c r="AJ47" i="40"/>
  <c r="AJ48" i="40"/>
  <c r="AJ49" i="40"/>
  <c r="AJ51" i="40"/>
  <c r="AJ52" i="40"/>
  <c r="AJ53" i="40"/>
  <c r="AJ54" i="40"/>
  <c r="AJ55" i="40"/>
  <c r="AJ56" i="40"/>
  <c r="AJ57" i="40"/>
  <c r="AJ58" i="40"/>
  <c r="AJ59" i="40"/>
  <c r="AJ60" i="40"/>
  <c r="AJ61" i="40"/>
  <c r="AJ62" i="40"/>
  <c r="AJ64" i="40"/>
  <c r="AJ65" i="40"/>
  <c r="AJ66" i="40"/>
  <c r="AJ67" i="40"/>
  <c r="AJ68" i="40"/>
  <c r="BJ16" i="40" l="1"/>
  <c r="M12" i="40"/>
  <c r="N12" i="40" s="1"/>
  <c r="O12" i="40" s="1"/>
  <c r="Y12" i="40"/>
  <c r="Z12" i="40" s="1"/>
  <c r="AA12" i="40" s="1"/>
  <c r="T12" i="40"/>
  <c r="U12" i="40" s="1"/>
  <c r="V12" i="40" s="1"/>
  <c r="BI12" i="40" l="1"/>
  <c r="Y47" i="38"/>
  <c r="AJ18" i="39"/>
  <c r="AJ19" i="39"/>
  <c r="AJ20" i="39"/>
  <c r="AO18" i="39"/>
  <c r="AO19" i="39"/>
  <c r="AO20" i="39"/>
  <c r="AO21" i="39"/>
  <c r="AO22" i="39"/>
  <c r="AZ18" i="39"/>
  <c r="AZ19" i="39"/>
  <c r="AZ20" i="39"/>
  <c r="AZ21" i="39"/>
  <c r="AZ22" i="39"/>
  <c r="AZ23" i="39"/>
  <c r="AZ24" i="39"/>
  <c r="AT18" i="39"/>
  <c r="AT19" i="39"/>
  <c r="Y13" i="40" l="1"/>
  <c r="Y14" i="40"/>
  <c r="Y15" i="40"/>
  <c r="Y16" i="40"/>
  <c r="Z16" i="40" s="1"/>
  <c r="AA16" i="40" s="1"/>
  <c r="Y17" i="40"/>
  <c r="Y19" i="40"/>
  <c r="Y20" i="40"/>
  <c r="Y21" i="40"/>
  <c r="Y22" i="40"/>
  <c r="Y23" i="40"/>
  <c r="Y24" i="40"/>
  <c r="Y25" i="40"/>
  <c r="Y26" i="40"/>
  <c r="Y27" i="40"/>
  <c r="Y28" i="40"/>
  <c r="Y29" i="40"/>
  <c r="Y30" i="40"/>
  <c r="Y31" i="40"/>
  <c r="Y32" i="40"/>
  <c r="Y35" i="40"/>
  <c r="Y36" i="40"/>
  <c r="Y37" i="40"/>
  <c r="Y38" i="40"/>
  <c r="Y39" i="40"/>
  <c r="Y40" i="40"/>
  <c r="Y41" i="40"/>
  <c r="Y42" i="40"/>
  <c r="Y43" i="40"/>
  <c r="Y44" i="40"/>
  <c r="Y45" i="40"/>
  <c r="Y46" i="40"/>
  <c r="Y47" i="40"/>
  <c r="Y48" i="40"/>
  <c r="Y49" i="40"/>
  <c r="Y50" i="40"/>
  <c r="Y51" i="40"/>
  <c r="Y52" i="40"/>
  <c r="Y53" i="40"/>
  <c r="Y54" i="40"/>
  <c r="Y55" i="40"/>
  <c r="Y56" i="40"/>
  <c r="Y57" i="40"/>
  <c r="Y58" i="40"/>
  <c r="Y59" i="40"/>
  <c r="Y60" i="40"/>
  <c r="Y61" i="40"/>
  <c r="Y62" i="40"/>
  <c r="Y63" i="40"/>
  <c r="Y64" i="40"/>
  <c r="Y65" i="40"/>
  <c r="Y66" i="40"/>
  <c r="Y67" i="40"/>
  <c r="Y68" i="40"/>
  <c r="F25" i="27" l="1"/>
  <c r="F18" i="27"/>
  <c r="BG22" i="39" l="1"/>
  <c r="AO29" i="39"/>
  <c r="AO30" i="39"/>
  <c r="AO32" i="39"/>
  <c r="AO33" i="39"/>
  <c r="AO34" i="39"/>
  <c r="AO35" i="39"/>
  <c r="AO36" i="39"/>
  <c r="AP36" i="39" s="1"/>
  <c r="AQ36" i="39" s="1"/>
  <c r="AO37" i="39"/>
  <c r="AO38" i="39"/>
  <c r="AJ38" i="39"/>
  <c r="T35" i="39"/>
  <c r="M36" i="39"/>
  <c r="AO70" i="38" l="1"/>
  <c r="AO17" i="38"/>
  <c r="AO18" i="38"/>
  <c r="AO19" i="38"/>
  <c r="AO21" i="38"/>
  <c r="AO23" i="38"/>
  <c r="AO25" i="38"/>
  <c r="AO26" i="38"/>
  <c r="AO29" i="38"/>
  <c r="AO30" i="38"/>
  <c r="AO31" i="38"/>
  <c r="AO32" i="38"/>
  <c r="AO33" i="38"/>
  <c r="AO35" i="38"/>
  <c r="AO36" i="38"/>
  <c r="AO37" i="38"/>
  <c r="AO38" i="38"/>
  <c r="AO39" i="38"/>
  <c r="AO40" i="38"/>
  <c r="AO41" i="38"/>
  <c r="AO42" i="38"/>
  <c r="AO43" i="38"/>
  <c r="AO44" i="38"/>
  <c r="AO45" i="38"/>
  <c r="AO46" i="38"/>
  <c r="AO47" i="38"/>
  <c r="AO48" i="38"/>
  <c r="AO49" i="38"/>
  <c r="AO50" i="38"/>
  <c r="AO51" i="38"/>
  <c r="AO52" i="38"/>
  <c r="AO54" i="38"/>
  <c r="AO55" i="38"/>
  <c r="AO56" i="38"/>
  <c r="AO58" i="38"/>
  <c r="AO59" i="38"/>
  <c r="M47" i="38"/>
  <c r="U16" i="40" l="1"/>
  <c r="V16" i="40" s="1"/>
  <c r="N16" i="40"/>
  <c r="O16" i="40" s="1"/>
  <c r="F16" i="40"/>
  <c r="G16" i="40" s="1"/>
  <c r="H16" i="40" s="1"/>
  <c r="BI16" i="40" l="1"/>
  <c r="BK16" i="40" s="1"/>
  <c r="M16" i="27"/>
  <c r="M17" i="27"/>
  <c r="M18" i="27"/>
  <c r="M19" i="27"/>
  <c r="M20" i="27"/>
  <c r="M21" i="27"/>
  <c r="M22" i="27"/>
  <c r="M23" i="27"/>
  <c r="M24" i="27"/>
  <c r="M25" i="27"/>
  <c r="M26" i="27"/>
  <c r="M27" i="27"/>
  <c r="M28" i="27"/>
  <c r="M29" i="27"/>
  <c r="Y15" i="27"/>
  <c r="Y16" i="27"/>
  <c r="Y17" i="27"/>
  <c r="Y18" i="27"/>
  <c r="Y19" i="27"/>
  <c r="Y20" i="27"/>
  <c r="Y21" i="27"/>
  <c r="Y22" i="27"/>
  <c r="Y23" i="27"/>
  <c r="Y24" i="27"/>
  <c r="Y25" i="27"/>
  <c r="Y26" i="27"/>
  <c r="Y27" i="27"/>
  <c r="Y28" i="27"/>
  <c r="T47" i="38" l="1"/>
  <c r="AJ38" i="38"/>
  <c r="T16" i="27"/>
  <c r="T17" i="27"/>
  <c r="T18" i="27"/>
  <c r="T19" i="27"/>
  <c r="T20" i="27"/>
  <c r="T21" i="27"/>
  <c r="T22" i="27"/>
  <c r="T23" i="27"/>
  <c r="T24" i="27"/>
  <c r="T25" i="27"/>
  <c r="T26" i="27"/>
  <c r="T27" i="27"/>
  <c r="T28" i="27"/>
  <c r="T29" i="27"/>
  <c r="G25" i="27" l="1"/>
  <c r="M32" i="40" l="1"/>
  <c r="AO48" i="40" l="1"/>
  <c r="AO49" i="40"/>
  <c r="AO51" i="40"/>
  <c r="AO33" i="40"/>
  <c r="AO34" i="40"/>
  <c r="AO35" i="40"/>
  <c r="AO36" i="40"/>
  <c r="AO37" i="40"/>
  <c r="AO39" i="40"/>
  <c r="AO40" i="40"/>
  <c r="AO41" i="40"/>
  <c r="AO66" i="40"/>
  <c r="AO67" i="40"/>
  <c r="AP67" i="40" s="1"/>
  <c r="AQ67" i="40" s="1"/>
  <c r="AK67" i="40"/>
  <c r="AL67" i="40" s="1"/>
  <c r="AF67" i="40"/>
  <c r="AG67" i="40" s="1"/>
  <c r="AC67" i="40"/>
  <c r="AD67" i="40" s="1"/>
  <c r="Z67" i="40"/>
  <c r="AA67" i="40" s="1"/>
  <c r="T64" i="40"/>
  <c r="T65" i="40"/>
  <c r="T66" i="40"/>
  <c r="T67" i="40"/>
  <c r="U67" i="40" s="1"/>
  <c r="V67" i="40" s="1"/>
  <c r="M67" i="40"/>
  <c r="N67" i="40" s="1"/>
  <c r="O67" i="40" s="1"/>
  <c r="F67" i="40"/>
  <c r="G67" i="40" s="1"/>
  <c r="H67" i="40" s="1"/>
  <c r="F66" i="40"/>
  <c r="G66" i="40" s="1"/>
  <c r="M64" i="40"/>
  <c r="F64" i="40"/>
  <c r="BI67" i="40" l="1"/>
  <c r="BJ67" i="40"/>
  <c r="N36" i="39"/>
  <c r="O36" i="39" s="1"/>
  <c r="AJ36" i="39"/>
  <c r="AK36" i="39" s="1"/>
  <c r="AL36" i="39" s="1"/>
  <c r="BJ36" i="39" s="1"/>
  <c r="AF36" i="39"/>
  <c r="AG36" i="39" s="1"/>
  <c r="AC36" i="39"/>
  <c r="AD36" i="39" s="1"/>
  <c r="Y36" i="39"/>
  <c r="Z36" i="39" s="1"/>
  <c r="AA36" i="39" s="1"/>
  <c r="F36" i="39"/>
  <c r="G36" i="39" s="1"/>
  <c r="H36" i="39" s="1"/>
  <c r="T36" i="39"/>
  <c r="U36" i="39" s="1"/>
  <c r="V36" i="39" s="1"/>
  <c r="T51" i="39"/>
  <c r="BI36" i="39" l="1"/>
  <c r="BK36" i="39" s="1"/>
  <c r="BK67" i="40"/>
  <c r="Z51" i="40"/>
  <c r="AA51" i="40" s="1"/>
  <c r="T51" i="40"/>
  <c r="U51" i="40" s="1"/>
  <c r="V51" i="40" s="1"/>
  <c r="M51" i="40"/>
  <c r="N51" i="40" s="1"/>
  <c r="O51" i="40" s="1"/>
  <c r="F51" i="40"/>
  <c r="G51" i="40" s="1"/>
  <c r="H51" i="40" s="1"/>
  <c r="AO21" i="40"/>
  <c r="AP21" i="40" s="1"/>
  <c r="AQ21" i="40" s="1"/>
  <c r="BE68" i="40"/>
  <c r="BA68" i="40"/>
  <c r="BB68" i="40" s="1"/>
  <c r="AU68" i="40"/>
  <c r="AV68" i="40" s="1"/>
  <c r="AO68" i="40"/>
  <c r="AP68" i="40" s="1"/>
  <c r="AQ68" i="40" s="1"/>
  <c r="AK68" i="40"/>
  <c r="AL68" i="40" s="1"/>
  <c r="AF68" i="40"/>
  <c r="AG68" i="40" s="1"/>
  <c r="AC68" i="40"/>
  <c r="AD68" i="40" s="1"/>
  <c r="Z68" i="40"/>
  <c r="AA68" i="40" s="1"/>
  <c r="T68" i="40"/>
  <c r="U68" i="40" s="1"/>
  <c r="V68" i="40" s="1"/>
  <c r="M68" i="40"/>
  <c r="N68" i="40" s="1"/>
  <c r="O68" i="40" s="1"/>
  <c r="F68" i="40"/>
  <c r="G68" i="40" s="1"/>
  <c r="H68" i="40" s="1"/>
  <c r="BD66" i="40"/>
  <c r="BE66" i="40" s="1"/>
  <c r="BA66" i="40"/>
  <c r="BB66" i="40" s="1"/>
  <c r="AU66" i="40"/>
  <c r="AV66" i="40" s="1"/>
  <c r="AP66" i="40"/>
  <c r="AQ66" i="40" s="1"/>
  <c r="AK66" i="40"/>
  <c r="AL66" i="40" s="1"/>
  <c r="AF66" i="40"/>
  <c r="AG66" i="40" s="1"/>
  <c r="AC66" i="40"/>
  <c r="AD66" i="40" s="1"/>
  <c r="U66" i="40"/>
  <c r="V66" i="40" s="1"/>
  <c r="M66" i="40"/>
  <c r="N66" i="40" s="1"/>
  <c r="O66" i="40" s="1"/>
  <c r="H66" i="40"/>
  <c r="BD65" i="40"/>
  <c r="BE65" i="40" s="1"/>
  <c r="BA65" i="40"/>
  <c r="BB65" i="40" s="1"/>
  <c r="AU65" i="40"/>
  <c r="AV65" i="40" s="1"/>
  <c r="AP65" i="40"/>
  <c r="AQ65" i="40" s="1"/>
  <c r="AK65" i="40"/>
  <c r="AL65" i="40" s="1"/>
  <c r="AF65" i="40"/>
  <c r="AG65" i="40" s="1"/>
  <c r="AC65" i="40"/>
  <c r="AD65" i="40" s="1"/>
  <c r="Z65" i="40"/>
  <c r="AA65" i="40" s="1"/>
  <c r="U65" i="40"/>
  <c r="V65" i="40" s="1"/>
  <c r="M65" i="40"/>
  <c r="N65" i="40" s="1"/>
  <c r="O65" i="40" s="1"/>
  <c r="F65" i="40"/>
  <c r="G65" i="40" s="1"/>
  <c r="H65" i="40" s="1"/>
  <c r="BD64" i="40"/>
  <c r="BE64" i="40" s="1"/>
  <c r="AZ64" i="40"/>
  <c r="BA64" i="40" s="1"/>
  <c r="BB64" i="40" s="1"/>
  <c r="AU64" i="40"/>
  <c r="AV64" i="40" s="1"/>
  <c r="AO64" i="40"/>
  <c r="AP64" i="40" s="1"/>
  <c r="AQ64" i="40" s="1"/>
  <c r="AK64" i="40"/>
  <c r="AL64" i="40" s="1"/>
  <c r="AF64" i="40"/>
  <c r="AG64" i="40" s="1"/>
  <c r="AC64" i="40"/>
  <c r="AD64" i="40" s="1"/>
  <c r="Z64" i="40"/>
  <c r="AA64" i="40" s="1"/>
  <c r="U64" i="40"/>
  <c r="V64" i="40" s="1"/>
  <c r="N64" i="40"/>
  <c r="O64" i="40" s="1"/>
  <c r="G64" i="40"/>
  <c r="H64" i="40" s="1"/>
  <c r="BD63" i="40"/>
  <c r="BE63" i="40" s="1"/>
  <c r="BA63" i="40"/>
  <c r="BB63" i="40" s="1"/>
  <c r="AU63" i="40"/>
  <c r="AV63" i="40" s="1"/>
  <c r="AP63" i="40"/>
  <c r="AQ63" i="40" s="1"/>
  <c r="AK63" i="40"/>
  <c r="AL63" i="40" s="1"/>
  <c r="AF63" i="40"/>
  <c r="AG63" i="40" s="1"/>
  <c r="AC63" i="40"/>
  <c r="AD63" i="40" s="1"/>
  <c r="Z63" i="40"/>
  <c r="AA63" i="40" s="1"/>
  <c r="T63" i="40"/>
  <c r="U63" i="40" s="1"/>
  <c r="V63" i="40" s="1"/>
  <c r="M63" i="40"/>
  <c r="N63" i="40" s="1"/>
  <c r="O63" i="40" s="1"/>
  <c r="F63" i="40"/>
  <c r="G63" i="40" s="1"/>
  <c r="H63" i="40" s="1"/>
  <c r="BD62" i="40"/>
  <c r="BE62" i="40" s="1"/>
  <c r="AZ62" i="40"/>
  <c r="BA62" i="40" s="1"/>
  <c r="BB62" i="40" s="1"/>
  <c r="AU62" i="40"/>
  <c r="AV62" i="40" s="1"/>
  <c r="AO62" i="40"/>
  <c r="AP62" i="40" s="1"/>
  <c r="AQ62" i="40" s="1"/>
  <c r="AK62" i="40"/>
  <c r="AL62" i="40" s="1"/>
  <c r="AF62" i="40"/>
  <c r="AG62" i="40" s="1"/>
  <c r="AC62" i="40"/>
  <c r="AD62" i="40" s="1"/>
  <c r="Z62" i="40"/>
  <c r="AA62" i="40" s="1"/>
  <c r="T62" i="40"/>
  <c r="U62" i="40" s="1"/>
  <c r="V62" i="40" s="1"/>
  <c r="M62" i="40"/>
  <c r="N62" i="40" s="1"/>
  <c r="O62" i="40" s="1"/>
  <c r="F62" i="40"/>
  <c r="G62" i="40" s="1"/>
  <c r="H62" i="40" s="1"/>
  <c r="BD61" i="40"/>
  <c r="BE61" i="40" s="1"/>
  <c r="AZ61" i="40"/>
  <c r="BA61" i="40" s="1"/>
  <c r="BB61" i="40" s="1"/>
  <c r="AU61" i="40"/>
  <c r="AV61" i="40" s="1"/>
  <c r="AO61" i="40"/>
  <c r="AP61" i="40" s="1"/>
  <c r="AQ61" i="40" s="1"/>
  <c r="AK61" i="40"/>
  <c r="AL61" i="40" s="1"/>
  <c r="AF61" i="40"/>
  <c r="AG61" i="40" s="1"/>
  <c r="AC61" i="40"/>
  <c r="AD61" i="40" s="1"/>
  <c r="Z61" i="40"/>
  <c r="AA61" i="40" s="1"/>
  <c r="T61" i="40"/>
  <c r="U61" i="40" s="1"/>
  <c r="V61" i="40" s="1"/>
  <c r="M61" i="40"/>
  <c r="N61" i="40" s="1"/>
  <c r="O61" i="40" s="1"/>
  <c r="F61" i="40"/>
  <c r="G61" i="40" s="1"/>
  <c r="H61" i="40" s="1"/>
  <c r="BD60" i="40"/>
  <c r="BE60" i="40" s="1"/>
  <c r="AZ60" i="40"/>
  <c r="BA60" i="40" s="1"/>
  <c r="BB60" i="40" s="1"/>
  <c r="AU60" i="40"/>
  <c r="AV60" i="40" s="1"/>
  <c r="AO60" i="40"/>
  <c r="AP60" i="40" s="1"/>
  <c r="AQ60" i="40" s="1"/>
  <c r="AK60" i="40"/>
  <c r="AL60" i="40" s="1"/>
  <c r="AF60" i="40"/>
  <c r="AG60" i="40" s="1"/>
  <c r="AC60" i="40"/>
  <c r="AD60" i="40" s="1"/>
  <c r="Z60" i="40"/>
  <c r="AA60" i="40" s="1"/>
  <c r="T60" i="40"/>
  <c r="U60" i="40" s="1"/>
  <c r="V60" i="40" s="1"/>
  <c r="M60" i="40"/>
  <c r="N60" i="40" s="1"/>
  <c r="O60" i="40" s="1"/>
  <c r="F60" i="40"/>
  <c r="G60" i="40" s="1"/>
  <c r="H60" i="40" s="1"/>
  <c r="BD59" i="40"/>
  <c r="BE59" i="40" s="1"/>
  <c r="BA59" i="40"/>
  <c r="BB59" i="40" s="1"/>
  <c r="AU59" i="40"/>
  <c r="AV59" i="40" s="1"/>
  <c r="AO59" i="40"/>
  <c r="AP59" i="40" s="1"/>
  <c r="AQ59" i="40" s="1"/>
  <c r="AK59" i="40"/>
  <c r="AL59" i="40" s="1"/>
  <c r="AF59" i="40"/>
  <c r="AG59" i="40" s="1"/>
  <c r="AC59" i="40"/>
  <c r="AD59" i="40" s="1"/>
  <c r="Z59" i="40"/>
  <c r="AA59" i="40" s="1"/>
  <c r="T59" i="40"/>
  <c r="U59" i="40" s="1"/>
  <c r="V59" i="40" s="1"/>
  <c r="M59" i="40"/>
  <c r="N59" i="40" s="1"/>
  <c r="O59" i="40" s="1"/>
  <c r="F59" i="40"/>
  <c r="G59" i="40" s="1"/>
  <c r="H59" i="40" s="1"/>
  <c r="BD58" i="40"/>
  <c r="BE58" i="40" s="1"/>
  <c r="AZ58" i="40"/>
  <c r="BA58" i="40" s="1"/>
  <c r="BB58" i="40" s="1"/>
  <c r="AU58" i="40"/>
  <c r="AV58" i="40" s="1"/>
  <c r="AO58" i="40"/>
  <c r="AP58" i="40" s="1"/>
  <c r="AQ58" i="40" s="1"/>
  <c r="AK58" i="40"/>
  <c r="AL58" i="40" s="1"/>
  <c r="AF58" i="40"/>
  <c r="AG58" i="40" s="1"/>
  <c r="AC58" i="40"/>
  <c r="AD58" i="40" s="1"/>
  <c r="Z58" i="40"/>
  <c r="AA58" i="40" s="1"/>
  <c r="T58" i="40"/>
  <c r="U58" i="40" s="1"/>
  <c r="V58" i="40" s="1"/>
  <c r="M58" i="40"/>
  <c r="N58" i="40" s="1"/>
  <c r="O58" i="40" s="1"/>
  <c r="F58" i="40"/>
  <c r="G58" i="40" s="1"/>
  <c r="H58" i="40" s="1"/>
  <c r="BD57" i="40"/>
  <c r="BE57" i="40" s="1"/>
  <c r="AZ57" i="40"/>
  <c r="BA57" i="40" s="1"/>
  <c r="BB57" i="40" s="1"/>
  <c r="AU57" i="40"/>
  <c r="AV57" i="40" s="1"/>
  <c r="AO57" i="40"/>
  <c r="AP57" i="40" s="1"/>
  <c r="AQ57" i="40" s="1"/>
  <c r="AK57" i="40"/>
  <c r="AL57" i="40" s="1"/>
  <c r="AF57" i="40"/>
  <c r="AG57" i="40" s="1"/>
  <c r="AC57" i="40"/>
  <c r="AD57" i="40" s="1"/>
  <c r="Z57" i="40"/>
  <c r="AA57" i="40" s="1"/>
  <c r="T57" i="40"/>
  <c r="U57" i="40" s="1"/>
  <c r="V57" i="40" s="1"/>
  <c r="M57" i="40"/>
  <c r="N57" i="40" s="1"/>
  <c r="O57" i="40" s="1"/>
  <c r="F57" i="40"/>
  <c r="G57" i="40" s="1"/>
  <c r="H57" i="40" s="1"/>
  <c r="BD56" i="40"/>
  <c r="BE56" i="40" s="1"/>
  <c r="AZ56" i="40"/>
  <c r="BA56" i="40" s="1"/>
  <c r="BB56" i="40" s="1"/>
  <c r="AU56" i="40"/>
  <c r="AV56" i="40" s="1"/>
  <c r="AO56" i="40"/>
  <c r="AP56" i="40" s="1"/>
  <c r="AQ56" i="40" s="1"/>
  <c r="AK56" i="40"/>
  <c r="AL56" i="40" s="1"/>
  <c r="AF56" i="40"/>
  <c r="AG56" i="40" s="1"/>
  <c r="AC56" i="40"/>
  <c r="AD56" i="40" s="1"/>
  <c r="Z56" i="40"/>
  <c r="AA56" i="40" s="1"/>
  <c r="T56" i="40"/>
  <c r="U56" i="40" s="1"/>
  <c r="V56" i="40" s="1"/>
  <c r="M56" i="40"/>
  <c r="N56" i="40" s="1"/>
  <c r="O56" i="40" s="1"/>
  <c r="F56" i="40"/>
  <c r="G56" i="40" s="1"/>
  <c r="H56" i="40" s="1"/>
  <c r="BD55" i="40"/>
  <c r="BE55" i="40" s="1"/>
  <c r="AZ55" i="40"/>
  <c r="BA55" i="40" s="1"/>
  <c r="BB55" i="40" s="1"/>
  <c r="AU55" i="40"/>
  <c r="AV55" i="40" s="1"/>
  <c r="AO55" i="40"/>
  <c r="AP55" i="40" s="1"/>
  <c r="AQ55" i="40" s="1"/>
  <c r="AK55" i="40"/>
  <c r="AL55" i="40" s="1"/>
  <c r="AF55" i="40"/>
  <c r="AG55" i="40" s="1"/>
  <c r="AC55" i="40"/>
  <c r="AD55" i="40" s="1"/>
  <c r="Z55" i="40"/>
  <c r="AA55" i="40" s="1"/>
  <c r="T55" i="40"/>
  <c r="U55" i="40" s="1"/>
  <c r="V55" i="40" s="1"/>
  <c r="M55" i="40"/>
  <c r="N55" i="40" s="1"/>
  <c r="O55" i="40" s="1"/>
  <c r="F55" i="40"/>
  <c r="G55" i="40" s="1"/>
  <c r="H55" i="40" s="1"/>
  <c r="BD54" i="40"/>
  <c r="BE54" i="40" s="1"/>
  <c r="BA54" i="40"/>
  <c r="BB54" i="40" s="1"/>
  <c r="AU54" i="40"/>
  <c r="AV54" i="40" s="1"/>
  <c r="AO54" i="40"/>
  <c r="AP54" i="40" s="1"/>
  <c r="AQ54" i="40" s="1"/>
  <c r="AK54" i="40"/>
  <c r="AL54" i="40" s="1"/>
  <c r="AF54" i="40"/>
  <c r="AG54" i="40" s="1"/>
  <c r="AC54" i="40"/>
  <c r="AD54" i="40" s="1"/>
  <c r="Z54" i="40"/>
  <c r="AA54" i="40" s="1"/>
  <c r="T54" i="40"/>
  <c r="U54" i="40" s="1"/>
  <c r="V54" i="40" s="1"/>
  <c r="M54" i="40"/>
  <c r="N54" i="40" s="1"/>
  <c r="O54" i="40" s="1"/>
  <c r="F54" i="40"/>
  <c r="G54" i="40" s="1"/>
  <c r="H54" i="40" s="1"/>
  <c r="BE53" i="40"/>
  <c r="AZ53" i="40"/>
  <c r="BA53" i="40" s="1"/>
  <c r="BB53" i="40" s="1"/>
  <c r="AU53" i="40"/>
  <c r="AV53" i="40" s="1"/>
  <c r="AO53" i="40"/>
  <c r="AP53" i="40" s="1"/>
  <c r="AQ53" i="40" s="1"/>
  <c r="AK53" i="40"/>
  <c r="AL53" i="40" s="1"/>
  <c r="AF53" i="40"/>
  <c r="AG53" i="40" s="1"/>
  <c r="AC53" i="40"/>
  <c r="AD53" i="40" s="1"/>
  <c r="Z53" i="40"/>
  <c r="AA53" i="40" s="1"/>
  <c r="T53" i="40"/>
  <c r="U53" i="40" s="1"/>
  <c r="V53" i="40" s="1"/>
  <c r="M53" i="40"/>
  <c r="N53" i="40" s="1"/>
  <c r="O53" i="40" s="1"/>
  <c r="F53" i="40"/>
  <c r="G53" i="40" s="1"/>
  <c r="H53" i="40" s="1"/>
  <c r="BD52" i="40"/>
  <c r="BE52" i="40" s="1"/>
  <c r="BA52" i="40"/>
  <c r="BB52" i="40" s="1"/>
  <c r="AU52" i="40"/>
  <c r="AV52" i="40" s="1"/>
  <c r="AO52" i="40"/>
  <c r="AP52" i="40" s="1"/>
  <c r="AQ52" i="40" s="1"/>
  <c r="AK52" i="40"/>
  <c r="AL52" i="40" s="1"/>
  <c r="AF52" i="40"/>
  <c r="AG52" i="40" s="1"/>
  <c r="AC52" i="40"/>
  <c r="AD52" i="40" s="1"/>
  <c r="Z52" i="40"/>
  <c r="AA52" i="40" s="1"/>
  <c r="T52" i="40"/>
  <c r="U52" i="40" s="1"/>
  <c r="V52" i="40" s="1"/>
  <c r="M52" i="40"/>
  <c r="N52" i="40" s="1"/>
  <c r="O52" i="40" s="1"/>
  <c r="F52" i="40"/>
  <c r="G52" i="40" s="1"/>
  <c r="H52" i="40" s="1"/>
  <c r="BD51" i="40"/>
  <c r="BE51" i="40" s="1"/>
  <c r="BA51" i="40"/>
  <c r="BB51" i="40" s="1"/>
  <c r="AU51" i="40"/>
  <c r="AV51" i="40" s="1"/>
  <c r="AP51" i="40"/>
  <c r="AQ51" i="40" s="1"/>
  <c r="AK51" i="40"/>
  <c r="AL51" i="40" s="1"/>
  <c r="AF51" i="40"/>
  <c r="AG51" i="40" s="1"/>
  <c r="AC51" i="40"/>
  <c r="AD51" i="40" s="1"/>
  <c r="BD50" i="40"/>
  <c r="BE50" i="40" s="1"/>
  <c r="BA50" i="40"/>
  <c r="BB50" i="40" s="1"/>
  <c r="AU50" i="40"/>
  <c r="AV50" i="40" s="1"/>
  <c r="AP50" i="40"/>
  <c r="AQ50" i="40" s="1"/>
  <c r="AK50" i="40"/>
  <c r="AL50" i="40" s="1"/>
  <c r="AF50" i="40"/>
  <c r="AG50" i="40" s="1"/>
  <c r="AC50" i="40"/>
  <c r="AD50" i="40" s="1"/>
  <c r="Z50" i="40"/>
  <c r="AA50" i="40" s="1"/>
  <c r="T50" i="40"/>
  <c r="U50" i="40" s="1"/>
  <c r="V50" i="40" s="1"/>
  <c r="M50" i="40"/>
  <c r="N50" i="40" s="1"/>
  <c r="O50" i="40" s="1"/>
  <c r="F50" i="40"/>
  <c r="G50" i="40" s="1"/>
  <c r="H50" i="40" s="1"/>
  <c r="BD49" i="40"/>
  <c r="BE49" i="40" s="1"/>
  <c r="BA49" i="40"/>
  <c r="BB49" i="40" s="1"/>
  <c r="AU49" i="40"/>
  <c r="AV49" i="40" s="1"/>
  <c r="AP49" i="40"/>
  <c r="AQ49" i="40" s="1"/>
  <c r="AK49" i="40"/>
  <c r="AL49" i="40" s="1"/>
  <c r="AF49" i="40"/>
  <c r="AG49" i="40" s="1"/>
  <c r="AC49" i="40"/>
  <c r="AD49" i="40" s="1"/>
  <c r="Z49" i="40"/>
  <c r="AA49" i="40" s="1"/>
  <c r="T49" i="40"/>
  <c r="U49" i="40" s="1"/>
  <c r="V49" i="40" s="1"/>
  <c r="M49" i="40"/>
  <c r="N49" i="40" s="1"/>
  <c r="O49" i="40" s="1"/>
  <c r="F49" i="40"/>
  <c r="G49" i="40" s="1"/>
  <c r="H49" i="40" s="1"/>
  <c r="BD48" i="40"/>
  <c r="BE48" i="40" s="1"/>
  <c r="BA48" i="40"/>
  <c r="BB48" i="40" s="1"/>
  <c r="AU48" i="40"/>
  <c r="AV48" i="40" s="1"/>
  <c r="AP48" i="40"/>
  <c r="AQ48" i="40" s="1"/>
  <c r="AK48" i="40"/>
  <c r="AL48" i="40" s="1"/>
  <c r="AF48" i="40"/>
  <c r="AG48" i="40" s="1"/>
  <c r="AC48" i="40"/>
  <c r="AD48" i="40" s="1"/>
  <c r="Z48" i="40"/>
  <c r="AA48" i="40" s="1"/>
  <c r="T48" i="40"/>
  <c r="U48" i="40" s="1"/>
  <c r="V48" i="40" s="1"/>
  <c r="M48" i="40"/>
  <c r="N48" i="40" s="1"/>
  <c r="O48" i="40" s="1"/>
  <c r="F48" i="40"/>
  <c r="G48" i="40" s="1"/>
  <c r="H48" i="40" s="1"/>
  <c r="BD47" i="40"/>
  <c r="BE47" i="40" s="1"/>
  <c r="BA47" i="40"/>
  <c r="BB47" i="40" s="1"/>
  <c r="AU47" i="40"/>
  <c r="AV47" i="40" s="1"/>
  <c r="AO47" i="40"/>
  <c r="AP47" i="40" s="1"/>
  <c r="AQ47" i="40" s="1"/>
  <c r="AK47" i="40"/>
  <c r="AL47" i="40" s="1"/>
  <c r="AF47" i="40"/>
  <c r="AG47" i="40" s="1"/>
  <c r="AC47" i="40"/>
  <c r="AD47" i="40" s="1"/>
  <c r="Z47" i="40"/>
  <c r="AA47" i="40" s="1"/>
  <c r="T47" i="40"/>
  <c r="U47" i="40" s="1"/>
  <c r="V47" i="40" s="1"/>
  <c r="M47" i="40"/>
  <c r="N47" i="40" s="1"/>
  <c r="O47" i="40" s="1"/>
  <c r="F47" i="40"/>
  <c r="G47" i="40" s="1"/>
  <c r="H47" i="40" s="1"/>
  <c r="BD46" i="40"/>
  <c r="BE46" i="40" s="1"/>
  <c r="BA46" i="40"/>
  <c r="BB46" i="40" s="1"/>
  <c r="AU46" i="40"/>
  <c r="AV46" i="40" s="1"/>
  <c r="AO46" i="40"/>
  <c r="AP46" i="40" s="1"/>
  <c r="AQ46" i="40" s="1"/>
  <c r="AK46" i="40"/>
  <c r="AL46" i="40" s="1"/>
  <c r="AF46" i="40"/>
  <c r="AG46" i="40" s="1"/>
  <c r="AC46" i="40"/>
  <c r="AD46" i="40" s="1"/>
  <c r="Z46" i="40"/>
  <c r="AA46" i="40" s="1"/>
  <c r="T46" i="40"/>
  <c r="U46" i="40" s="1"/>
  <c r="V46" i="40" s="1"/>
  <c r="M46" i="40"/>
  <c r="N46" i="40" s="1"/>
  <c r="O46" i="40" s="1"/>
  <c r="F46" i="40"/>
  <c r="G46" i="40" s="1"/>
  <c r="H46" i="40" s="1"/>
  <c r="BD45" i="40"/>
  <c r="BE45" i="40" s="1"/>
  <c r="BA45" i="40"/>
  <c r="BB45" i="40" s="1"/>
  <c r="AU45" i="40"/>
  <c r="AV45" i="40" s="1"/>
  <c r="AO45" i="40"/>
  <c r="AP45" i="40" s="1"/>
  <c r="AQ45" i="40" s="1"/>
  <c r="AK45" i="40"/>
  <c r="AL45" i="40" s="1"/>
  <c r="AF45" i="40"/>
  <c r="AG45" i="40" s="1"/>
  <c r="AC45" i="40"/>
  <c r="AD45" i="40" s="1"/>
  <c r="Z45" i="40"/>
  <c r="AA45" i="40" s="1"/>
  <c r="T45" i="40"/>
  <c r="U45" i="40" s="1"/>
  <c r="V45" i="40" s="1"/>
  <c r="P45" i="40"/>
  <c r="M45" i="40"/>
  <c r="N45" i="40" s="1"/>
  <c r="O45" i="40" s="1"/>
  <c r="J45" i="40"/>
  <c r="F45" i="40"/>
  <c r="G45" i="40" s="1"/>
  <c r="H45" i="40" s="1"/>
  <c r="BD44" i="40"/>
  <c r="BE44" i="40" s="1"/>
  <c r="BA44" i="40"/>
  <c r="BB44" i="40" s="1"/>
  <c r="AU44" i="40"/>
  <c r="AV44" i="40" s="1"/>
  <c r="AO44" i="40"/>
  <c r="AP44" i="40" s="1"/>
  <c r="AQ44" i="40" s="1"/>
  <c r="AK44" i="40"/>
  <c r="AL44" i="40" s="1"/>
  <c r="AF44" i="40"/>
  <c r="AG44" i="40" s="1"/>
  <c r="AC44" i="40"/>
  <c r="AD44" i="40" s="1"/>
  <c r="Z44" i="40"/>
  <c r="AA44" i="40" s="1"/>
  <c r="T44" i="40"/>
  <c r="U44" i="40" s="1"/>
  <c r="V44" i="40" s="1"/>
  <c r="P44" i="40"/>
  <c r="M44" i="40"/>
  <c r="N44" i="40" s="1"/>
  <c r="O44" i="40" s="1"/>
  <c r="J44" i="40"/>
  <c r="F44" i="40"/>
  <c r="G44" i="40" s="1"/>
  <c r="H44" i="40" s="1"/>
  <c r="BD43" i="40"/>
  <c r="BE43" i="40" s="1"/>
  <c r="BA43" i="40"/>
  <c r="BB43" i="40" s="1"/>
  <c r="AU43" i="40"/>
  <c r="AV43" i="40" s="1"/>
  <c r="AO43" i="40"/>
  <c r="AP43" i="40" s="1"/>
  <c r="AQ43" i="40" s="1"/>
  <c r="AK43" i="40"/>
  <c r="AL43" i="40" s="1"/>
  <c r="AF43" i="40"/>
  <c r="AG43" i="40" s="1"/>
  <c r="AC43" i="40"/>
  <c r="AD43" i="40" s="1"/>
  <c r="Z43" i="40"/>
  <c r="AA43" i="40" s="1"/>
  <c r="T43" i="40"/>
  <c r="U43" i="40" s="1"/>
  <c r="V43" i="40" s="1"/>
  <c r="P43" i="40"/>
  <c r="M43" i="40"/>
  <c r="N43" i="40" s="1"/>
  <c r="O43" i="40" s="1"/>
  <c r="J43" i="40"/>
  <c r="F43" i="40"/>
  <c r="G43" i="40" s="1"/>
  <c r="H43" i="40" s="1"/>
  <c r="BD42" i="40"/>
  <c r="BE42" i="40" s="1"/>
  <c r="BA42" i="40"/>
  <c r="BB42" i="40" s="1"/>
  <c r="AU42" i="40"/>
  <c r="AV42" i="40" s="1"/>
  <c r="AO42" i="40"/>
  <c r="AP42" i="40" s="1"/>
  <c r="AQ42" i="40" s="1"/>
  <c r="AK42" i="40"/>
  <c r="AL42" i="40" s="1"/>
  <c r="AF42" i="40"/>
  <c r="AG42" i="40" s="1"/>
  <c r="AC42" i="40"/>
  <c r="AD42" i="40" s="1"/>
  <c r="Z42" i="40"/>
  <c r="AA42" i="40" s="1"/>
  <c r="T42" i="40"/>
  <c r="U42" i="40" s="1"/>
  <c r="V42" i="40" s="1"/>
  <c r="P42" i="40"/>
  <c r="M42" i="40"/>
  <c r="N42" i="40" s="1"/>
  <c r="O42" i="40" s="1"/>
  <c r="J42" i="40"/>
  <c r="F42" i="40"/>
  <c r="G42" i="40" s="1"/>
  <c r="H42" i="40" s="1"/>
  <c r="BD41" i="40"/>
  <c r="BE41" i="40" s="1"/>
  <c r="BA41" i="40"/>
  <c r="BB41" i="40" s="1"/>
  <c r="AU41" i="40"/>
  <c r="AV41" i="40" s="1"/>
  <c r="AP41" i="40"/>
  <c r="AQ41" i="40" s="1"/>
  <c r="AK41" i="40"/>
  <c r="AL41" i="40" s="1"/>
  <c r="AF41" i="40"/>
  <c r="AG41" i="40" s="1"/>
  <c r="AC41" i="40"/>
  <c r="AD41" i="40" s="1"/>
  <c r="Z41" i="40"/>
  <c r="AA41" i="40" s="1"/>
  <c r="T41" i="40"/>
  <c r="U41" i="40" s="1"/>
  <c r="V41" i="40" s="1"/>
  <c r="P41" i="40"/>
  <c r="M41" i="40"/>
  <c r="N41" i="40" s="1"/>
  <c r="O41" i="40" s="1"/>
  <c r="J41" i="40"/>
  <c r="F41" i="40"/>
  <c r="G41" i="40" s="1"/>
  <c r="H41" i="40" s="1"/>
  <c r="BD40" i="40"/>
  <c r="BE40" i="40" s="1"/>
  <c r="BA40" i="40"/>
  <c r="BB40" i="40" s="1"/>
  <c r="AU40" i="40"/>
  <c r="AV40" i="40" s="1"/>
  <c r="AP40" i="40"/>
  <c r="AQ40" i="40" s="1"/>
  <c r="AK40" i="40"/>
  <c r="AL40" i="40" s="1"/>
  <c r="AF40" i="40"/>
  <c r="AG40" i="40" s="1"/>
  <c r="AC40" i="40"/>
  <c r="AD40" i="40" s="1"/>
  <c r="Z40" i="40"/>
  <c r="AA40" i="40" s="1"/>
  <c r="T40" i="40"/>
  <c r="U40" i="40" s="1"/>
  <c r="V40" i="40" s="1"/>
  <c r="P40" i="40"/>
  <c r="M40" i="40"/>
  <c r="N40" i="40" s="1"/>
  <c r="O40" i="40" s="1"/>
  <c r="J40" i="40"/>
  <c r="F40" i="40"/>
  <c r="G40" i="40" s="1"/>
  <c r="H40" i="40" s="1"/>
  <c r="BD39" i="40"/>
  <c r="BE39" i="40" s="1"/>
  <c r="AZ39" i="40"/>
  <c r="BA39" i="40" s="1"/>
  <c r="BB39" i="40" s="1"/>
  <c r="AU39" i="40"/>
  <c r="AV39" i="40" s="1"/>
  <c r="AP39" i="40"/>
  <c r="AQ39" i="40" s="1"/>
  <c r="AK39" i="40"/>
  <c r="AL39" i="40" s="1"/>
  <c r="AF39" i="40"/>
  <c r="AG39" i="40" s="1"/>
  <c r="AC39" i="40"/>
  <c r="AD39" i="40" s="1"/>
  <c r="Z39" i="40"/>
  <c r="AA39" i="40" s="1"/>
  <c r="T39" i="40"/>
  <c r="U39" i="40" s="1"/>
  <c r="V39" i="40" s="1"/>
  <c r="P39" i="40"/>
  <c r="M39" i="40"/>
  <c r="N39" i="40" s="1"/>
  <c r="O39" i="40" s="1"/>
  <c r="J39" i="40"/>
  <c r="F39" i="40"/>
  <c r="G39" i="40" s="1"/>
  <c r="H39" i="40" s="1"/>
  <c r="BD38" i="40"/>
  <c r="BE38" i="40" s="1"/>
  <c r="BA38" i="40"/>
  <c r="BB38" i="40" s="1"/>
  <c r="AU38" i="40"/>
  <c r="AV38" i="40" s="1"/>
  <c r="AP38" i="40"/>
  <c r="AQ38" i="40" s="1"/>
  <c r="AK38" i="40"/>
  <c r="AL38" i="40" s="1"/>
  <c r="AF38" i="40"/>
  <c r="AG38" i="40" s="1"/>
  <c r="AC38" i="40"/>
  <c r="AD38" i="40" s="1"/>
  <c r="Z38" i="40"/>
  <c r="AA38" i="40" s="1"/>
  <c r="U38" i="40"/>
  <c r="V38" i="40" s="1"/>
  <c r="P38" i="40"/>
  <c r="M38" i="40"/>
  <c r="N38" i="40" s="1"/>
  <c r="O38" i="40" s="1"/>
  <c r="J38" i="40"/>
  <c r="F38" i="40"/>
  <c r="G38" i="40" s="1"/>
  <c r="H38" i="40" s="1"/>
  <c r="BD37" i="40"/>
  <c r="BE37" i="40" s="1"/>
  <c r="AZ37" i="40"/>
  <c r="BA37" i="40" s="1"/>
  <c r="BB37" i="40" s="1"/>
  <c r="AU37" i="40"/>
  <c r="AV37" i="40" s="1"/>
  <c r="AP37" i="40"/>
  <c r="AQ37" i="40" s="1"/>
  <c r="AK37" i="40"/>
  <c r="AL37" i="40" s="1"/>
  <c r="AF37" i="40"/>
  <c r="AG37" i="40" s="1"/>
  <c r="AC37" i="40"/>
  <c r="AD37" i="40" s="1"/>
  <c r="Z37" i="40"/>
  <c r="AA37" i="40" s="1"/>
  <c r="T37" i="40"/>
  <c r="U37" i="40" s="1"/>
  <c r="V37" i="40" s="1"/>
  <c r="P37" i="40"/>
  <c r="M37" i="40"/>
  <c r="N37" i="40" s="1"/>
  <c r="O37" i="40" s="1"/>
  <c r="J37" i="40"/>
  <c r="F37" i="40"/>
  <c r="G37" i="40" s="1"/>
  <c r="H37" i="40" s="1"/>
  <c r="BD36" i="40"/>
  <c r="BE36" i="40" s="1"/>
  <c r="AZ36" i="40"/>
  <c r="BA36" i="40" s="1"/>
  <c r="BB36" i="40" s="1"/>
  <c r="AU36" i="40"/>
  <c r="AV36" i="40" s="1"/>
  <c r="AP36" i="40"/>
  <c r="AQ36" i="40" s="1"/>
  <c r="AK36" i="40"/>
  <c r="AL36" i="40" s="1"/>
  <c r="AF36" i="40"/>
  <c r="AG36" i="40" s="1"/>
  <c r="AC36" i="40"/>
  <c r="AD36" i="40" s="1"/>
  <c r="Z36" i="40"/>
  <c r="AA36" i="40" s="1"/>
  <c r="T36" i="40"/>
  <c r="U36" i="40" s="1"/>
  <c r="V36" i="40" s="1"/>
  <c r="P36" i="40"/>
  <c r="M36" i="40"/>
  <c r="N36" i="40" s="1"/>
  <c r="O36" i="40" s="1"/>
  <c r="J36" i="40"/>
  <c r="F36" i="40"/>
  <c r="G36" i="40" s="1"/>
  <c r="H36" i="40" s="1"/>
  <c r="BD35" i="40"/>
  <c r="BE35" i="40" s="1"/>
  <c r="AZ35" i="40"/>
  <c r="BA35" i="40" s="1"/>
  <c r="BB35" i="40" s="1"/>
  <c r="AU35" i="40"/>
  <c r="AV35" i="40" s="1"/>
  <c r="AP35" i="40"/>
  <c r="AQ35" i="40" s="1"/>
  <c r="AK35" i="40"/>
  <c r="AL35" i="40" s="1"/>
  <c r="AF35" i="40"/>
  <c r="AG35" i="40" s="1"/>
  <c r="AC35" i="40"/>
  <c r="AD35" i="40" s="1"/>
  <c r="Z35" i="40"/>
  <c r="AA35" i="40" s="1"/>
  <c r="T35" i="40"/>
  <c r="U35" i="40" s="1"/>
  <c r="V35" i="40" s="1"/>
  <c r="P35" i="40"/>
  <c r="M35" i="40"/>
  <c r="N35" i="40" s="1"/>
  <c r="O35" i="40" s="1"/>
  <c r="J35" i="40"/>
  <c r="F35" i="40"/>
  <c r="G35" i="40" s="1"/>
  <c r="H35" i="40" s="1"/>
  <c r="BD34" i="40"/>
  <c r="BE34" i="40" s="1"/>
  <c r="BA34" i="40"/>
  <c r="BB34" i="40" s="1"/>
  <c r="AU34" i="40"/>
  <c r="AV34" i="40" s="1"/>
  <c r="AP34" i="40"/>
  <c r="AQ34" i="40" s="1"/>
  <c r="AK34" i="40"/>
  <c r="AL34" i="40" s="1"/>
  <c r="AF34" i="40"/>
  <c r="AG34" i="40" s="1"/>
  <c r="AC34" i="40"/>
  <c r="AD34" i="40" s="1"/>
  <c r="Z34" i="40"/>
  <c r="AA34" i="40" s="1"/>
  <c r="T34" i="40"/>
  <c r="U34" i="40" s="1"/>
  <c r="V34" i="40" s="1"/>
  <c r="P34" i="40"/>
  <c r="M34" i="40"/>
  <c r="N34" i="40" s="1"/>
  <c r="O34" i="40" s="1"/>
  <c r="J34" i="40"/>
  <c r="F34" i="40"/>
  <c r="G34" i="40" s="1"/>
  <c r="H34" i="40" s="1"/>
  <c r="BD33" i="40"/>
  <c r="BE33" i="40" s="1"/>
  <c r="BA33" i="40"/>
  <c r="BB33" i="40" s="1"/>
  <c r="AU33" i="40"/>
  <c r="AV33" i="40" s="1"/>
  <c r="AP33" i="40"/>
  <c r="AQ33" i="40" s="1"/>
  <c r="AK33" i="40"/>
  <c r="AL33" i="40" s="1"/>
  <c r="AF33" i="40"/>
  <c r="AG33" i="40" s="1"/>
  <c r="AC33" i="40"/>
  <c r="AD33" i="40" s="1"/>
  <c r="Z33" i="40"/>
  <c r="AA33" i="40" s="1"/>
  <c r="T33" i="40"/>
  <c r="U33" i="40" s="1"/>
  <c r="V33" i="40" s="1"/>
  <c r="P33" i="40"/>
  <c r="M33" i="40"/>
  <c r="N33" i="40" s="1"/>
  <c r="O33" i="40" s="1"/>
  <c r="J33" i="40"/>
  <c r="F33" i="40"/>
  <c r="G33" i="40" s="1"/>
  <c r="H33" i="40" s="1"/>
  <c r="BD32" i="40"/>
  <c r="BE32" i="40" s="1"/>
  <c r="AZ32" i="40"/>
  <c r="BA32" i="40" s="1"/>
  <c r="BB32" i="40" s="1"/>
  <c r="AU32" i="40"/>
  <c r="AV32" i="40" s="1"/>
  <c r="AO32" i="40"/>
  <c r="AP32" i="40" s="1"/>
  <c r="AQ32" i="40" s="1"/>
  <c r="AK32" i="40"/>
  <c r="AL32" i="40" s="1"/>
  <c r="AF32" i="40"/>
  <c r="AG32" i="40" s="1"/>
  <c r="AC32" i="40"/>
  <c r="AD32" i="40" s="1"/>
  <c r="Z32" i="40"/>
  <c r="AA32" i="40" s="1"/>
  <c r="T32" i="40"/>
  <c r="U32" i="40" s="1"/>
  <c r="V32" i="40" s="1"/>
  <c r="P32" i="40"/>
  <c r="N32" i="40"/>
  <c r="O32" i="40" s="1"/>
  <c r="J32" i="40"/>
  <c r="F32" i="40"/>
  <c r="G32" i="40" s="1"/>
  <c r="H32" i="40" s="1"/>
  <c r="BD31" i="40"/>
  <c r="BE31" i="40" s="1"/>
  <c r="AZ31" i="40"/>
  <c r="AU31" i="40"/>
  <c r="AV31" i="40" s="1"/>
  <c r="AO31" i="40"/>
  <c r="AP31" i="40" s="1"/>
  <c r="AQ31" i="40" s="1"/>
  <c r="AK31" i="40"/>
  <c r="AL31" i="40" s="1"/>
  <c r="AF31" i="40"/>
  <c r="AG31" i="40" s="1"/>
  <c r="AC31" i="40"/>
  <c r="AD31" i="40" s="1"/>
  <c r="Z31" i="40"/>
  <c r="AA31" i="40" s="1"/>
  <c r="T31" i="40"/>
  <c r="U31" i="40" s="1"/>
  <c r="V31" i="40" s="1"/>
  <c r="P31" i="40"/>
  <c r="M31" i="40"/>
  <c r="N31" i="40" s="1"/>
  <c r="O31" i="40" s="1"/>
  <c r="J31" i="40"/>
  <c r="F31" i="40"/>
  <c r="G31" i="40" s="1"/>
  <c r="H31" i="40" s="1"/>
  <c r="BD30" i="40"/>
  <c r="BE30" i="40" s="1"/>
  <c r="AZ30" i="40"/>
  <c r="BA30" i="40" s="1"/>
  <c r="BB30" i="40" s="1"/>
  <c r="AU30" i="40"/>
  <c r="AV30" i="40" s="1"/>
  <c r="AO30" i="40"/>
  <c r="AP30" i="40" s="1"/>
  <c r="AQ30" i="40" s="1"/>
  <c r="AK30" i="40"/>
  <c r="AL30" i="40" s="1"/>
  <c r="AF30" i="40"/>
  <c r="AG30" i="40" s="1"/>
  <c r="AC30" i="40"/>
  <c r="AD30" i="40" s="1"/>
  <c r="Z30" i="40"/>
  <c r="AA30" i="40" s="1"/>
  <c r="T30" i="40"/>
  <c r="U30" i="40" s="1"/>
  <c r="V30" i="40" s="1"/>
  <c r="P30" i="40"/>
  <c r="M30" i="40"/>
  <c r="N30" i="40" s="1"/>
  <c r="O30" i="40" s="1"/>
  <c r="J30" i="40"/>
  <c r="F30" i="40"/>
  <c r="G30" i="40" s="1"/>
  <c r="H30" i="40" s="1"/>
  <c r="BD29" i="40"/>
  <c r="BE29" i="40" s="1"/>
  <c r="AZ29" i="40"/>
  <c r="BA29" i="40" s="1"/>
  <c r="BB29" i="40" s="1"/>
  <c r="AU29" i="40"/>
  <c r="AV29" i="40" s="1"/>
  <c r="AO29" i="40"/>
  <c r="AP29" i="40" s="1"/>
  <c r="AQ29" i="40" s="1"/>
  <c r="AK29" i="40"/>
  <c r="AL29" i="40" s="1"/>
  <c r="AF29" i="40"/>
  <c r="AG29" i="40" s="1"/>
  <c r="AC29" i="40"/>
  <c r="AD29" i="40" s="1"/>
  <c r="Z29" i="40"/>
  <c r="AA29" i="40" s="1"/>
  <c r="T29" i="40"/>
  <c r="U29" i="40" s="1"/>
  <c r="V29" i="40" s="1"/>
  <c r="P29" i="40"/>
  <c r="M29" i="40"/>
  <c r="N29" i="40" s="1"/>
  <c r="O29" i="40" s="1"/>
  <c r="F29" i="40"/>
  <c r="G29" i="40" s="1"/>
  <c r="H29" i="40" s="1"/>
  <c r="BD28" i="40"/>
  <c r="BE28" i="40" s="1"/>
  <c r="AZ28" i="40"/>
  <c r="BA28" i="40" s="1"/>
  <c r="BB28" i="40" s="1"/>
  <c r="AU28" i="40"/>
  <c r="AV28" i="40" s="1"/>
  <c r="AO28" i="40"/>
  <c r="AP28" i="40" s="1"/>
  <c r="AQ28" i="40" s="1"/>
  <c r="AK28" i="40"/>
  <c r="AL28" i="40" s="1"/>
  <c r="AF28" i="40"/>
  <c r="AC28" i="40"/>
  <c r="AD28" i="40" s="1"/>
  <c r="Z28" i="40"/>
  <c r="AA28" i="40" s="1"/>
  <c r="T28" i="40"/>
  <c r="U28" i="40" s="1"/>
  <c r="V28" i="40" s="1"/>
  <c r="P28" i="40"/>
  <c r="M28" i="40"/>
  <c r="N28" i="40" s="1"/>
  <c r="O28" i="40" s="1"/>
  <c r="J28" i="40"/>
  <c r="F28" i="40"/>
  <c r="G28" i="40" s="1"/>
  <c r="H28" i="40" s="1"/>
  <c r="BD27" i="40"/>
  <c r="BE27" i="40" s="1"/>
  <c r="AZ27" i="40"/>
  <c r="BA27" i="40" s="1"/>
  <c r="BB27" i="40" s="1"/>
  <c r="AU27" i="40"/>
  <c r="AV27" i="40" s="1"/>
  <c r="AO27" i="40"/>
  <c r="AP27" i="40" s="1"/>
  <c r="AQ27" i="40" s="1"/>
  <c r="AK27" i="40"/>
  <c r="AL27" i="40" s="1"/>
  <c r="AF27" i="40"/>
  <c r="AG27" i="40" s="1"/>
  <c r="AC27" i="40"/>
  <c r="AD27" i="40" s="1"/>
  <c r="Z27" i="40"/>
  <c r="AA27" i="40" s="1"/>
  <c r="T27" i="40"/>
  <c r="U27" i="40" s="1"/>
  <c r="V27" i="40" s="1"/>
  <c r="P27" i="40"/>
  <c r="M27" i="40"/>
  <c r="N27" i="40" s="1"/>
  <c r="O27" i="40" s="1"/>
  <c r="J27" i="40"/>
  <c r="F27" i="40"/>
  <c r="G27" i="40" s="1"/>
  <c r="H27" i="40" s="1"/>
  <c r="BD26" i="40"/>
  <c r="BE26" i="40" s="1"/>
  <c r="AZ26" i="40"/>
  <c r="BA26" i="40" s="1"/>
  <c r="BB26" i="40" s="1"/>
  <c r="AU26" i="40"/>
  <c r="AV26" i="40" s="1"/>
  <c r="AO26" i="40"/>
  <c r="AP26" i="40" s="1"/>
  <c r="AQ26" i="40" s="1"/>
  <c r="AK26" i="40"/>
  <c r="AL26" i="40" s="1"/>
  <c r="AF26" i="40"/>
  <c r="AG26" i="40" s="1"/>
  <c r="AC26" i="40"/>
  <c r="AD26" i="40" s="1"/>
  <c r="Z26" i="40"/>
  <c r="AA26" i="40" s="1"/>
  <c r="T26" i="40"/>
  <c r="U26" i="40" s="1"/>
  <c r="V26" i="40" s="1"/>
  <c r="P26" i="40"/>
  <c r="M26" i="40"/>
  <c r="N26" i="40" s="1"/>
  <c r="O26" i="40" s="1"/>
  <c r="J26" i="40"/>
  <c r="F26" i="40"/>
  <c r="G26" i="40" s="1"/>
  <c r="H26" i="40" s="1"/>
  <c r="BD25" i="40"/>
  <c r="BE25" i="40" s="1"/>
  <c r="AZ25" i="40"/>
  <c r="BA25" i="40" s="1"/>
  <c r="BB25" i="40" s="1"/>
  <c r="AU25" i="40"/>
  <c r="AV25" i="40" s="1"/>
  <c r="AO25" i="40"/>
  <c r="AP25" i="40" s="1"/>
  <c r="AQ25" i="40" s="1"/>
  <c r="AK25" i="40"/>
  <c r="AL25" i="40" s="1"/>
  <c r="AF25" i="40"/>
  <c r="AG25" i="40" s="1"/>
  <c r="AC25" i="40"/>
  <c r="AD25" i="40" s="1"/>
  <c r="Z25" i="40"/>
  <c r="AA25" i="40" s="1"/>
  <c r="T25" i="40"/>
  <c r="U25" i="40" s="1"/>
  <c r="V25" i="40" s="1"/>
  <c r="P25" i="40"/>
  <c r="M25" i="40"/>
  <c r="N25" i="40" s="1"/>
  <c r="O25" i="40" s="1"/>
  <c r="J25" i="40"/>
  <c r="F25" i="40"/>
  <c r="G25" i="40" s="1"/>
  <c r="H25" i="40" s="1"/>
  <c r="BD24" i="40"/>
  <c r="BE24" i="40" s="1"/>
  <c r="AZ24" i="40"/>
  <c r="BA24" i="40" s="1"/>
  <c r="BB24" i="40" s="1"/>
  <c r="AU24" i="40"/>
  <c r="AV24" i="40" s="1"/>
  <c r="AO24" i="40"/>
  <c r="AP24" i="40" s="1"/>
  <c r="AQ24" i="40" s="1"/>
  <c r="AK24" i="40"/>
  <c r="AL24" i="40" s="1"/>
  <c r="AF24" i="40"/>
  <c r="AG24" i="40" s="1"/>
  <c r="AC24" i="40"/>
  <c r="AD24" i="40" s="1"/>
  <c r="Z24" i="40"/>
  <c r="AA24" i="40" s="1"/>
  <c r="T24" i="40"/>
  <c r="U24" i="40" s="1"/>
  <c r="V24" i="40" s="1"/>
  <c r="P24" i="40"/>
  <c r="M24" i="40"/>
  <c r="N24" i="40" s="1"/>
  <c r="O24" i="40" s="1"/>
  <c r="J24" i="40"/>
  <c r="F24" i="40"/>
  <c r="G24" i="40" s="1"/>
  <c r="H24" i="40" s="1"/>
  <c r="BD23" i="40"/>
  <c r="BE23" i="40" s="1"/>
  <c r="AZ23" i="40"/>
  <c r="BA23" i="40" s="1"/>
  <c r="BB23" i="40" s="1"/>
  <c r="AU23" i="40"/>
  <c r="AV23" i="40" s="1"/>
  <c r="AO23" i="40"/>
  <c r="AP23" i="40" s="1"/>
  <c r="AQ23" i="40" s="1"/>
  <c r="AK23" i="40"/>
  <c r="AL23" i="40" s="1"/>
  <c r="AF23" i="40"/>
  <c r="AG23" i="40" s="1"/>
  <c r="AC23" i="40"/>
  <c r="AD23" i="40" s="1"/>
  <c r="Z23" i="40"/>
  <c r="AA23" i="40" s="1"/>
  <c r="T23" i="40"/>
  <c r="U23" i="40" s="1"/>
  <c r="V23" i="40" s="1"/>
  <c r="P23" i="40"/>
  <c r="M23" i="40"/>
  <c r="N23" i="40" s="1"/>
  <c r="O23" i="40" s="1"/>
  <c r="J23" i="40"/>
  <c r="F23" i="40"/>
  <c r="G23" i="40" s="1"/>
  <c r="H23" i="40" s="1"/>
  <c r="BD22" i="40"/>
  <c r="BE22" i="40" s="1"/>
  <c r="AZ22" i="40"/>
  <c r="BA22" i="40" s="1"/>
  <c r="BB22" i="40" s="1"/>
  <c r="AU22" i="40"/>
  <c r="AV22" i="40" s="1"/>
  <c r="AO22" i="40"/>
  <c r="AP22" i="40" s="1"/>
  <c r="AQ22" i="40" s="1"/>
  <c r="AK22" i="40"/>
  <c r="AL22" i="40" s="1"/>
  <c r="AF22" i="40"/>
  <c r="AG22" i="40" s="1"/>
  <c r="AC22" i="40"/>
  <c r="AD22" i="40" s="1"/>
  <c r="Z22" i="40"/>
  <c r="AA22" i="40" s="1"/>
  <c r="U22" i="40"/>
  <c r="V22" i="40" s="1"/>
  <c r="P22" i="40"/>
  <c r="M22" i="40"/>
  <c r="N22" i="40" s="1"/>
  <c r="O22" i="40" s="1"/>
  <c r="J22" i="40"/>
  <c r="F22" i="40"/>
  <c r="G22" i="40" s="1"/>
  <c r="H22" i="40" s="1"/>
  <c r="BD21" i="40"/>
  <c r="BE21" i="40" s="1"/>
  <c r="BA21" i="40"/>
  <c r="BB21" i="40" s="1"/>
  <c r="AU21" i="40"/>
  <c r="AV21" i="40" s="1"/>
  <c r="AK21" i="40"/>
  <c r="AL21" i="40" s="1"/>
  <c r="AF21" i="40"/>
  <c r="AG21" i="40" s="1"/>
  <c r="AC21" i="40"/>
  <c r="AD21" i="40" s="1"/>
  <c r="Z21" i="40"/>
  <c r="AA21" i="40" s="1"/>
  <c r="T21" i="40"/>
  <c r="U21" i="40" s="1"/>
  <c r="V21" i="40" s="1"/>
  <c r="P21" i="40"/>
  <c r="M21" i="40"/>
  <c r="N21" i="40" s="1"/>
  <c r="O21" i="40" s="1"/>
  <c r="J21" i="40"/>
  <c r="F21" i="40"/>
  <c r="G21" i="40" s="1"/>
  <c r="H21" i="40" s="1"/>
  <c r="BD20" i="40"/>
  <c r="BE20" i="40" s="1"/>
  <c r="BA20" i="40"/>
  <c r="BB20" i="40" s="1"/>
  <c r="AU20" i="40"/>
  <c r="AV20" i="40" s="1"/>
  <c r="AO20" i="40"/>
  <c r="AP20" i="40" s="1"/>
  <c r="AQ20" i="40" s="1"/>
  <c r="AK20" i="40"/>
  <c r="AL20" i="40" s="1"/>
  <c r="AF20" i="40"/>
  <c r="AG20" i="40" s="1"/>
  <c r="AC20" i="40"/>
  <c r="AD20" i="40" s="1"/>
  <c r="Z20" i="40"/>
  <c r="AA20" i="40" s="1"/>
  <c r="T20" i="40"/>
  <c r="U20" i="40" s="1"/>
  <c r="V20" i="40" s="1"/>
  <c r="P20" i="40"/>
  <c r="M20" i="40"/>
  <c r="N20" i="40" s="1"/>
  <c r="O20" i="40" s="1"/>
  <c r="J20" i="40"/>
  <c r="F20" i="40"/>
  <c r="G20" i="40" s="1"/>
  <c r="H20" i="40" s="1"/>
  <c r="BD19" i="40"/>
  <c r="BE19" i="40" s="1"/>
  <c r="BA19" i="40"/>
  <c r="BB19" i="40" s="1"/>
  <c r="AU19" i="40"/>
  <c r="AV19" i="40" s="1"/>
  <c r="AO19" i="40"/>
  <c r="AP19" i="40" s="1"/>
  <c r="AQ19" i="40" s="1"/>
  <c r="AK19" i="40"/>
  <c r="AL19" i="40" s="1"/>
  <c r="AF19" i="40"/>
  <c r="AG19" i="40" s="1"/>
  <c r="AC19" i="40"/>
  <c r="AD19" i="40" s="1"/>
  <c r="Z19" i="40"/>
  <c r="AA19" i="40" s="1"/>
  <c r="T19" i="40"/>
  <c r="U19" i="40" s="1"/>
  <c r="V19" i="40" s="1"/>
  <c r="P19" i="40"/>
  <c r="M19" i="40"/>
  <c r="N19" i="40" s="1"/>
  <c r="O19" i="40" s="1"/>
  <c r="J19" i="40"/>
  <c r="F19" i="40"/>
  <c r="G19" i="40" s="1"/>
  <c r="H19" i="40" s="1"/>
  <c r="BD18" i="40"/>
  <c r="BE18" i="40" s="1"/>
  <c r="BA18" i="40"/>
  <c r="BB18" i="40" s="1"/>
  <c r="AU18" i="40"/>
  <c r="AV18" i="40" s="1"/>
  <c r="AO18" i="40"/>
  <c r="AP18" i="40" s="1"/>
  <c r="AQ18" i="40" s="1"/>
  <c r="AK18" i="40"/>
  <c r="AL18" i="40" s="1"/>
  <c r="AF18" i="40"/>
  <c r="AG18" i="40" s="1"/>
  <c r="AC18" i="40"/>
  <c r="AD18" i="40" s="1"/>
  <c r="Z18" i="40"/>
  <c r="AA18" i="40" s="1"/>
  <c r="T18" i="40"/>
  <c r="U18" i="40" s="1"/>
  <c r="V18" i="40" s="1"/>
  <c r="P18" i="40"/>
  <c r="M18" i="40"/>
  <c r="N18" i="40" s="1"/>
  <c r="O18" i="40" s="1"/>
  <c r="J18" i="40"/>
  <c r="F18" i="40"/>
  <c r="G18" i="40" s="1"/>
  <c r="H18" i="40" s="1"/>
  <c r="BE17" i="40"/>
  <c r="BA17" i="40"/>
  <c r="BB17" i="40" s="1"/>
  <c r="AU17" i="40"/>
  <c r="AV17" i="40" s="1"/>
  <c r="AP17" i="40"/>
  <c r="AQ17" i="40" s="1"/>
  <c r="AK17" i="40"/>
  <c r="AL17" i="40" s="1"/>
  <c r="AF17" i="40"/>
  <c r="AG17" i="40" s="1"/>
  <c r="AC17" i="40"/>
  <c r="AD17" i="40" s="1"/>
  <c r="Z17" i="40"/>
  <c r="AA17" i="40" s="1"/>
  <c r="T17" i="40"/>
  <c r="U17" i="40" s="1"/>
  <c r="V17" i="40" s="1"/>
  <c r="P17" i="40"/>
  <c r="N17" i="40"/>
  <c r="O17" i="40" s="1"/>
  <c r="J17" i="40"/>
  <c r="F17" i="40"/>
  <c r="G17" i="40" s="1"/>
  <c r="H17" i="40" s="1"/>
  <c r="BD15" i="40"/>
  <c r="BE15" i="40" s="1"/>
  <c r="BA15" i="40"/>
  <c r="BB15" i="40" s="1"/>
  <c r="AT15" i="40"/>
  <c r="AU15" i="40" s="1"/>
  <c r="AV15" i="40" s="1"/>
  <c r="AO15" i="40"/>
  <c r="AP15" i="40" s="1"/>
  <c r="AQ15" i="40" s="1"/>
  <c r="AK15" i="40"/>
  <c r="AL15" i="40" s="1"/>
  <c r="AF15" i="40"/>
  <c r="AG15" i="40" s="1"/>
  <c r="AC15" i="40"/>
  <c r="AD15" i="40" s="1"/>
  <c r="Z15" i="40"/>
  <c r="AA15" i="40" s="1"/>
  <c r="T15" i="40"/>
  <c r="U15" i="40" s="1"/>
  <c r="V15" i="40" s="1"/>
  <c r="P15" i="40"/>
  <c r="M15" i="40"/>
  <c r="N15" i="40" s="1"/>
  <c r="O15" i="40" s="1"/>
  <c r="J15" i="40"/>
  <c r="F15" i="40"/>
  <c r="G15" i="40" s="1"/>
  <c r="H15" i="40" s="1"/>
  <c r="BE14" i="40"/>
  <c r="BJ14" i="40" s="1"/>
  <c r="BA14" i="40"/>
  <c r="BB14" i="40" s="1"/>
  <c r="AT14" i="40"/>
  <c r="AU14" i="40" s="1"/>
  <c r="AV14" i="40" s="1"/>
  <c r="AO14" i="40"/>
  <c r="AP14" i="40" s="1"/>
  <c r="AQ14" i="40" s="1"/>
  <c r="AK14" i="40"/>
  <c r="AL14" i="40" s="1"/>
  <c r="AF14" i="40"/>
  <c r="AG14" i="40" s="1"/>
  <c r="AC14" i="40"/>
  <c r="AD14" i="40" s="1"/>
  <c r="Z14" i="40"/>
  <c r="AA14" i="40" s="1"/>
  <c r="T14" i="40"/>
  <c r="U14" i="40" s="1"/>
  <c r="V14" i="40" s="1"/>
  <c r="M14" i="40"/>
  <c r="N14" i="40" s="1"/>
  <c r="O14" i="40" s="1"/>
  <c r="J14" i="40"/>
  <c r="F14" i="40"/>
  <c r="G14" i="40" s="1"/>
  <c r="H14" i="40" s="1"/>
  <c r="BD13" i="40"/>
  <c r="BE13" i="40" s="1"/>
  <c r="BA13" i="40"/>
  <c r="BB13" i="40" s="1"/>
  <c r="AT13" i="40"/>
  <c r="AU13" i="40" s="1"/>
  <c r="AV13" i="40" s="1"/>
  <c r="AO13" i="40"/>
  <c r="AP13" i="40" s="1"/>
  <c r="AQ13" i="40" s="1"/>
  <c r="AK13" i="40"/>
  <c r="AL13" i="40" s="1"/>
  <c r="AF13" i="40"/>
  <c r="AG13" i="40" s="1"/>
  <c r="AC13" i="40"/>
  <c r="AD13" i="40" s="1"/>
  <c r="Z13" i="40"/>
  <c r="AA13" i="40" s="1"/>
  <c r="T13" i="40"/>
  <c r="U13" i="40" s="1"/>
  <c r="V13" i="40" s="1"/>
  <c r="P13" i="40"/>
  <c r="M13" i="40"/>
  <c r="N13" i="40" s="1"/>
  <c r="O13" i="40" s="1"/>
  <c r="J13" i="40"/>
  <c r="F13" i="40"/>
  <c r="G13" i="40" s="1"/>
  <c r="H13" i="40" s="1"/>
  <c r="P10" i="40"/>
  <c r="P9" i="40"/>
  <c r="Q9" i="40" s="1"/>
  <c r="BG58" i="39"/>
  <c r="BH58" i="39" s="1"/>
  <c r="BD58" i="39"/>
  <c r="BE58" i="39" s="1"/>
  <c r="AZ58" i="39"/>
  <c r="BA58" i="39" s="1"/>
  <c r="BB58" i="39" s="1"/>
  <c r="AT58" i="39"/>
  <c r="AU58" i="39" s="1"/>
  <c r="AV58" i="39" s="1"/>
  <c r="AO58" i="39"/>
  <c r="AP58" i="39" s="1"/>
  <c r="AQ58" i="39" s="1"/>
  <c r="AJ58" i="39"/>
  <c r="AK58" i="39" s="1"/>
  <c r="AL58" i="39" s="1"/>
  <c r="AF58" i="39"/>
  <c r="AG58" i="39" s="1"/>
  <c r="AC58" i="39"/>
  <c r="AD58" i="39" s="1"/>
  <c r="Y58" i="39"/>
  <c r="Z58" i="39" s="1"/>
  <c r="AA58" i="39" s="1"/>
  <c r="T58" i="39"/>
  <c r="U58" i="39" s="1"/>
  <c r="V58" i="39" s="1"/>
  <c r="M58" i="39"/>
  <c r="N58" i="39" s="1"/>
  <c r="O58" i="39" s="1"/>
  <c r="F58" i="39"/>
  <c r="G58" i="39" s="1"/>
  <c r="H58" i="39" s="1"/>
  <c r="BG56" i="39"/>
  <c r="BH56" i="39" s="1"/>
  <c r="BD56" i="39"/>
  <c r="BE56" i="39" s="1"/>
  <c r="AZ56" i="39"/>
  <c r="BA56" i="39" s="1"/>
  <c r="BB56" i="39" s="1"/>
  <c r="AT56" i="39"/>
  <c r="AU56" i="39" s="1"/>
  <c r="AV56" i="39" s="1"/>
  <c r="AO56" i="39"/>
  <c r="AP56" i="39" s="1"/>
  <c r="AQ56" i="39" s="1"/>
  <c r="AJ56" i="39"/>
  <c r="AK56" i="39" s="1"/>
  <c r="AL56" i="39" s="1"/>
  <c r="AF56" i="39"/>
  <c r="AG56" i="39" s="1"/>
  <c r="AC56" i="39"/>
  <c r="AD56" i="39" s="1"/>
  <c r="Y56" i="39"/>
  <c r="Z56" i="39" s="1"/>
  <c r="AA56" i="39" s="1"/>
  <c r="T56" i="39"/>
  <c r="U56" i="39" s="1"/>
  <c r="V56" i="39" s="1"/>
  <c r="M56" i="39"/>
  <c r="N56" i="39" s="1"/>
  <c r="O56" i="39" s="1"/>
  <c r="F56" i="39"/>
  <c r="G56" i="39" s="1"/>
  <c r="H56" i="39" s="1"/>
  <c r="BG54" i="39"/>
  <c r="BH54" i="39" s="1"/>
  <c r="BD54" i="39"/>
  <c r="BE54" i="39" s="1"/>
  <c r="AZ54" i="39"/>
  <c r="BA54" i="39" s="1"/>
  <c r="BB54" i="39" s="1"/>
  <c r="AT54" i="39"/>
  <c r="AU54" i="39" s="1"/>
  <c r="AV54" i="39" s="1"/>
  <c r="AO54" i="39"/>
  <c r="AP54" i="39" s="1"/>
  <c r="AQ54" i="39" s="1"/>
  <c r="AJ54" i="39"/>
  <c r="AK54" i="39" s="1"/>
  <c r="AL54" i="39" s="1"/>
  <c r="AF54" i="39"/>
  <c r="AG54" i="39" s="1"/>
  <c r="AC54" i="39"/>
  <c r="AD54" i="39" s="1"/>
  <c r="Y54" i="39"/>
  <c r="Z54" i="39" s="1"/>
  <c r="AA54" i="39" s="1"/>
  <c r="T54" i="39"/>
  <c r="U54" i="39" s="1"/>
  <c r="V54" i="39" s="1"/>
  <c r="M54" i="39"/>
  <c r="N54" i="39" s="1"/>
  <c r="O54" i="39" s="1"/>
  <c r="F54" i="39"/>
  <c r="G54" i="39" s="1"/>
  <c r="H54" i="39" s="1"/>
  <c r="BG53" i="39"/>
  <c r="BH53" i="39" s="1"/>
  <c r="BD53" i="39"/>
  <c r="BE53" i="39" s="1"/>
  <c r="AZ53" i="39"/>
  <c r="BA53" i="39" s="1"/>
  <c r="BB53" i="39" s="1"/>
  <c r="AT53" i="39"/>
  <c r="AU53" i="39" s="1"/>
  <c r="AV53" i="39" s="1"/>
  <c r="AO53" i="39"/>
  <c r="AP53" i="39" s="1"/>
  <c r="AQ53" i="39" s="1"/>
  <c r="AJ53" i="39"/>
  <c r="AK53" i="39" s="1"/>
  <c r="AL53" i="39" s="1"/>
  <c r="AF53" i="39"/>
  <c r="AG53" i="39" s="1"/>
  <c r="AC53" i="39"/>
  <c r="AD53" i="39" s="1"/>
  <c r="Y53" i="39"/>
  <c r="Z53" i="39" s="1"/>
  <c r="AA53" i="39" s="1"/>
  <c r="T53" i="39"/>
  <c r="U53" i="39" s="1"/>
  <c r="V53" i="39" s="1"/>
  <c r="M53" i="39"/>
  <c r="N53" i="39" s="1"/>
  <c r="O53" i="39" s="1"/>
  <c r="F53" i="39"/>
  <c r="G53" i="39" s="1"/>
  <c r="H53" i="39" s="1"/>
  <c r="BG52" i="39"/>
  <c r="BH52" i="39" s="1"/>
  <c r="BD52" i="39"/>
  <c r="BE52" i="39" s="1"/>
  <c r="AZ52" i="39"/>
  <c r="BA52" i="39" s="1"/>
  <c r="BB52" i="39" s="1"/>
  <c r="AT52" i="39"/>
  <c r="AU52" i="39" s="1"/>
  <c r="AV52" i="39" s="1"/>
  <c r="AO52" i="39"/>
  <c r="AP52" i="39" s="1"/>
  <c r="AQ52" i="39" s="1"/>
  <c r="AJ52" i="39"/>
  <c r="AK52" i="39" s="1"/>
  <c r="AL52" i="39" s="1"/>
  <c r="AF52" i="39"/>
  <c r="AG52" i="39" s="1"/>
  <c r="AC52" i="39"/>
  <c r="AD52" i="39" s="1"/>
  <c r="Y52" i="39"/>
  <c r="Z52" i="39" s="1"/>
  <c r="AA52" i="39" s="1"/>
  <c r="T52" i="39"/>
  <c r="U52" i="39" s="1"/>
  <c r="V52" i="39" s="1"/>
  <c r="M52" i="39"/>
  <c r="N52" i="39" s="1"/>
  <c r="O52" i="39" s="1"/>
  <c r="F52" i="39"/>
  <c r="G52" i="39" s="1"/>
  <c r="H52" i="39" s="1"/>
  <c r="BG51" i="39"/>
  <c r="BH51" i="39" s="1"/>
  <c r="BD51" i="39"/>
  <c r="BE51" i="39" s="1"/>
  <c r="AZ51" i="39"/>
  <c r="BA51" i="39" s="1"/>
  <c r="BB51" i="39" s="1"/>
  <c r="AT51" i="39"/>
  <c r="AU51" i="39" s="1"/>
  <c r="AV51" i="39" s="1"/>
  <c r="AO51" i="39"/>
  <c r="AP51" i="39" s="1"/>
  <c r="AQ51" i="39" s="1"/>
  <c r="AJ51" i="39"/>
  <c r="AK51" i="39" s="1"/>
  <c r="AL51" i="39" s="1"/>
  <c r="AF51" i="39"/>
  <c r="AG51" i="39" s="1"/>
  <c r="AC51" i="39"/>
  <c r="AD51" i="39" s="1"/>
  <c r="Y51" i="39"/>
  <c r="Z51" i="39" s="1"/>
  <c r="AA51" i="39" s="1"/>
  <c r="U51" i="39"/>
  <c r="V51" i="39" s="1"/>
  <c r="M51" i="39"/>
  <c r="N51" i="39" s="1"/>
  <c r="O51" i="39" s="1"/>
  <c r="F51" i="39"/>
  <c r="G51" i="39" s="1"/>
  <c r="H51" i="39" s="1"/>
  <c r="BG50" i="39"/>
  <c r="BH50" i="39" s="1"/>
  <c r="BD50" i="39"/>
  <c r="BE50" i="39" s="1"/>
  <c r="AZ50" i="39"/>
  <c r="BA50" i="39" s="1"/>
  <c r="BB50" i="39" s="1"/>
  <c r="AT50" i="39"/>
  <c r="AU50" i="39" s="1"/>
  <c r="AV50" i="39" s="1"/>
  <c r="AO50" i="39"/>
  <c r="AP50" i="39" s="1"/>
  <c r="AQ50" i="39" s="1"/>
  <c r="AJ50" i="39"/>
  <c r="AK50" i="39" s="1"/>
  <c r="AL50" i="39" s="1"/>
  <c r="AF50" i="39"/>
  <c r="AG50" i="39" s="1"/>
  <c r="AC50" i="39"/>
  <c r="AD50" i="39" s="1"/>
  <c r="Y50" i="39"/>
  <c r="Z50" i="39" s="1"/>
  <c r="AA50" i="39" s="1"/>
  <c r="T50" i="39"/>
  <c r="U50" i="39" s="1"/>
  <c r="V50" i="39" s="1"/>
  <c r="M50" i="39"/>
  <c r="N50" i="39" s="1"/>
  <c r="O50" i="39" s="1"/>
  <c r="F50" i="39"/>
  <c r="G50" i="39" s="1"/>
  <c r="H50" i="39" s="1"/>
  <c r="BG49" i="39"/>
  <c r="BH49" i="39" s="1"/>
  <c r="BD49" i="39"/>
  <c r="BE49" i="39" s="1"/>
  <c r="AZ49" i="39"/>
  <c r="BA49" i="39" s="1"/>
  <c r="BB49" i="39" s="1"/>
  <c r="AT49" i="39"/>
  <c r="AU49" i="39" s="1"/>
  <c r="AV49" i="39" s="1"/>
  <c r="AO49" i="39"/>
  <c r="AP49" i="39" s="1"/>
  <c r="AQ49" i="39" s="1"/>
  <c r="AJ49" i="39"/>
  <c r="AK49" i="39" s="1"/>
  <c r="AL49" i="39" s="1"/>
  <c r="AF49" i="39"/>
  <c r="AG49" i="39" s="1"/>
  <c r="AC49" i="39"/>
  <c r="AD49" i="39" s="1"/>
  <c r="Y49" i="39"/>
  <c r="Z49" i="39" s="1"/>
  <c r="AA49" i="39" s="1"/>
  <c r="T49" i="39"/>
  <c r="U49" i="39" s="1"/>
  <c r="V49" i="39" s="1"/>
  <c r="M49" i="39"/>
  <c r="N49" i="39" s="1"/>
  <c r="O49" i="39" s="1"/>
  <c r="F49" i="39"/>
  <c r="G49" i="39" s="1"/>
  <c r="H49" i="39" s="1"/>
  <c r="BG48" i="39"/>
  <c r="BH48" i="39" s="1"/>
  <c r="BD48" i="39"/>
  <c r="BE48" i="39" s="1"/>
  <c r="AZ48" i="39"/>
  <c r="BA48" i="39" s="1"/>
  <c r="BB48" i="39" s="1"/>
  <c r="AT48" i="39"/>
  <c r="AU48" i="39" s="1"/>
  <c r="AV48" i="39" s="1"/>
  <c r="AO48" i="39"/>
  <c r="AP48" i="39" s="1"/>
  <c r="AQ48" i="39" s="1"/>
  <c r="AJ48" i="39"/>
  <c r="AK48" i="39" s="1"/>
  <c r="AL48" i="39" s="1"/>
  <c r="AF48" i="39"/>
  <c r="AG48" i="39" s="1"/>
  <c r="AC48" i="39"/>
  <c r="AD48" i="39" s="1"/>
  <c r="Y48" i="39"/>
  <c r="Z48" i="39" s="1"/>
  <c r="AA48" i="39" s="1"/>
  <c r="T48" i="39"/>
  <c r="U48" i="39" s="1"/>
  <c r="V48" i="39" s="1"/>
  <c r="M48" i="39"/>
  <c r="N48" i="39" s="1"/>
  <c r="O48" i="39" s="1"/>
  <c r="F48" i="39"/>
  <c r="G48" i="39" s="1"/>
  <c r="H48" i="39" s="1"/>
  <c r="BG47" i="39"/>
  <c r="BH47" i="39" s="1"/>
  <c r="BD47" i="39"/>
  <c r="BE47" i="39" s="1"/>
  <c r="AZ47" i="39"/>
  <c r="BA47" i="39" s="1"/>
  <c r="BB47" i="39" s="1"/>
  <c r="AT47" i="39"/>
  <c r="AU47" i="39" s="1"/>
  <c r="AV47" i="39" s="1"/>
  <c r="AO47" i="39"/>
  <c r="AP47" i="39" s="1"/>
  <c r="AQ47" i="39" s="1"/>
  <c r="AJ47" i="39"/>
  <c r="AK47" i="39" s="1"/>
  <c r="AL47" i="39" s="1"/>
  <c r="AF47" i="39"/>
  <c r="AG47" i="39" s="1"/>
  <c r="AC47" i="39"/>
  <c r="AD47" i="39" s="1"/>
  <c r="Y47" i="39"/>
  <c r="Z47" i="39" s="1"/>
  <c r="AA47" i="39" s="1"/>
  <c r="T47" i="39"/>
  <c r="U47" i="39" s="1"/>
  <c r="V47" i="39" s="1"/>
  <c r="M47" i="39"/>
  <c r="N47" i="39" s="1"/>
  <c r="O47" i="39" s="1"/>
  <c r="F47" i="39"/>
  <c r="G47" i="39" s="1"/>
  <c r="H47" i="39" s="1"/>
  <c r="BG46" i="39"/>
  <c r="BH46" i="39" s="1"/>
  <c r="BD46" i="39"/>
  <c r="BE46" i="39" s="1"/>
  <c r="BA46" i="39"/>
  <c r="BB46" i="39" s="1"/>
  <c r="AU46" i="39"/>
  <c r="AV46" i="39" s="1"/>
  <c r="AP46" i="39"/>
  <c r="AQ46" i="39" s="1"/>
  <c r="AK46" i="39"/>
  <c r="AL46" i="39" s="1"/>
  <c r="AF46" i="39"/>
  <c r="AG46" i="39" s="1"/>
  <c r="AC46" i="39"/>
  <c r="AD46" i="39" s="1"/>
  <c r="Z46" i="39"/>
  <c r="AA46" i="39" s="1"/>
  <c r="U46" i="39"/>
  <c r="V46" i="39" s="1"/>
  <c r="N46" i="39"/>
  <c r="O46" i="39" s="1"/>
  <c r="G46" i="39"/>
  <c r="H46" i="39" s="1"/>
  <c r="BG45" i="39"/>
  <c r="BH45" i="39" s="1"/>
  <c r="BD45" i="39"/>
  <c r="BE45" i="39" s="1"/>
  <c r="AZ45" i="39"/>
  <c r="BA45" i="39" s="1"/>
  <c r="BB45" i="39" s="1"/>
  <c r="AT45" i="39"/>
  <c r="AU45" i="39" s="1"/>
  <c r="AV45" i="39" s="1"/>
  <c r="AO45" i="39"/>
  <c r="AP45" i="39" s="1"/>
  <c r="AQ45" i="39" s="1"/>
  <c r="AJ45" i="39"/>
  <c r="AK45" i="39" s="1"/>
  <c r="AL45" i="39" s="1"/>
  <c r="AF45" i="39"/>
  <c r="AG45" i="39" s="1"/>
  <c r="AC45" i="39"/>
  <c r="AD45" i="39" s="1"/>
  <c r="Y45" i="39"/>
  <c r="Z45" i="39" s="1"/>
  <c r="AA45" i="39" s="1"/>
  <c r="T45" i="39"/>
  <c r="U45" i="39" s="1"/>
  <c r="V45" i="39" s="1"/>
  <c r="M45" i="39"/>
  <c r="N45" i="39" s="1"/>
  <c r="O45" i="39" s="1"/>
  <c r="F45" i="39"/>
  <c r="G45" i="39" s="1"/>
  <c r="H45" i="39" s="1"/>
  <c r="BG44" i="39"/>
  <c r="BH44" i="39" s="1"/>
  <c r="BD44" i="39"/>
  <c r="BE44" i="39" s="1"/>
  <c r="BA44" i="39"/>
  <c r="BB44" i="39" s="1"/>
  <c r="AU44" i="39"/>
  <c r="AV44" i="39" s="1"/>
  <c r="AP44" i="39"/>
  <c r="AQ44" i="39" s="1"/>
  <c r="AK44" i="39"/>
  <c r="AL44" i="39" s="1"/>
  <c r="AF44" i="39"/>
  <c r="AG44" i="39" s="1"/>
  <c r="AC44" i="39"/>
  <c r="AD44" i="39" s="1"/>
  <c r="Z44" i="39"/>
  <c r="AA44" i="39" s="1"/>
  <c r="U44" i="39"/>
  <c r="V44" i="39" s="1"/>
  <c r="N44" i="39"/>
  <c r="O44" i="39" s="1"/>
  <c r="G44" i="39"/>
  <c r="H44" i="39" s="1"/>
  <c r="BG43" i="39"/>
  <c r="BH43" i="39" s="1"/>
  <c r="BD43" i="39"/>
  <c r="BE43" i="39" s="1"/>
  <c r="BA43" i="39"/>
  <c r="BB43" i="39" s="1"/>
  <c r="AU43" i="39"/>
  <c r="AV43" i="39" s="1"/>
  <c r="AP43" i="39"/>
  <c r="AQ43" i="39" s="1"/>
  <c r="AK43" i="39"/>
  <c r="AL43" i="39" s="1"/>
  <c r="AF43" i="39"/>
  <c r="AG43" i="39" s="1"/>
  <c r="AC43" i="39"/>
  <c r="AD43" i="39" s="1"/>
  <c r="Z43" i="39"/>
  <c r="AA43" i="39" s="1"/>
  <c r="U43" i="39"/>
  <c r="V43" i="39" s="1"/>
  <c r="N43" i="39"/>
  <c r="O43" i="39" s="1"/>
  <c r="G43" i="39"/>
  <c r="H43" i="39" s="1"/>
  <c r="BG42" i="39"/>
  <c r="BH42" i="39" s="1"/>
  <c r="BD42" i="39"/>
  <c r="BE42" i="39" s="1"/>
  <c r="AZ42" i="39"/>
  <c r="BA42" i="39" s="1"/>
  <c r="BB42" i="39" s="1"/>
  <c r="AT42" i="39"/>
  <c r="AU42" i="39" s="1"/>
  <c r="AV42" i="39" s="1"/>
  <c r="AO42" i="39"/>
  <c r="AP42" i="39" s="1"/>
  <c r="AQ42" i="39" s="1"/>
  <c r="AJ42" i="39"/>
  <c r="AK42" i="39" s="1"/>
  <c r="AL42" i="39" s="1"/>
  <c r="AF42" i="39"/>
  <c r="AG42" i="39" s="1"/>
  <c r="AC42" i="39"/>
  <c r="AD42" i="39" s="1"/>
  <c r="Y42" i="39"/>
  <c r="Z42" i="39" s="1"/>
  <c r="AA42" i="39" s="1"/>
  <c r="T42" i="39"/>
  <c r="U42" i="39" s="1"/>
  <c r="V42" i="39" s="1"/>
  <c r="M42" i="39"/>
  <c r="N42" i="39" s="1"/>
  <c r="O42" i="39" s="1"/>
  <c r="F42" i="39"/>
  <c r="G42" i="39" s="1"/>
  <c r="H42" i="39" s="1"/>
  <c r="BG41" i="39"/>
  <c r="BH41" i="39" s="1"/>
  <c r="BD41" i="39"/>
  <c r="BE41" i="39" s="1"/>
  <c r="AZ41" i="39"/>
  <c r="BA41" i="39" s="1"/>
  <c r="BB41" i="39" s="1"/>
  <c r="AT41" i="39"/>
  <c r="AU41" i="39" s="1"/>
  <c r="AV41" i="39" s="1"/>
  <c r="AO41" i="39"/>
  <c r="AP41" i="39" s="1"/>
  <c r="AQ41" i="39" s="1"/>
  <c r="AJ41" i="39"/>
  <c r="AK41" i="39" s="1"/>
  <c r="AL41" i="39" s="1"/>
  <c r="AF41" i="39"/>
  <c r="AG41" i="39" s="1"/>
  <c r="AC41" i="39"/>
  <c r="AD41" i="39" s="1"/>
  <c r="Y41" i="39"/>
  <c r="Z41" i="39" s="1"/>
  <c r="AA41" i="39" s="1"/>
  <c r="T41" i="39"/>
  <c r="U41" i="39" s="1"/>
  <c r="V41" i="39" s="1"/>
  <c r="P41" i="39"/>
  <c r="M41" i="39"/>
  <c r="N41" i="39" s="1"/>
  <c r="O41" i="39" s="1"/>
  <c r="J41" i="39"/>
  <c r="F41" i="39"/>
  <c r="G41" i="39" s="1"/>
  <c r="H41" i="39" s="1"/>
  <c r="BG40" i="39"/>
  <c r="BH40" i="39" s="1"/>
  <c r="BD40" i="39"/>
  <c r="BE40" i="39" s="1"/>
  <c r="BA40" i="39"/>
  <c r="BB40" i="39" s="1"/>
  <c r="AU40" i="39"/>
  <c r="AV40" i="39" s="1"/>
  <c r="AP40" i="39"/>
  <c r="AQ40" i="39" s="1"/>
  <c r="AK40" i="39"/>
  <c r="AL40" i="39" s="1"/>
  <c r="AF40" i="39"/>
  <c r="AG40" i="39" s="1"/>
  <c r="AC40" i="39"/>
  <c r="AD40" i="39" s="1"/>
  <c r="Z40" i="39"/>
  <c r="AA40" i="39" s="1"/>
  <c r="U40" i="39"/>
  <c r="V40" i="39" s="1"/>
  <c r="P40" i="39"/>
  <c r="N40" i="39"/>
  <c r="O40" i="39" s="1"/>
  <c r="J40" i="39"/>
  <c r="G40" i="39"/>
  <c r="H40" i="39" s="1"/>
  <c r="BG39" i="39"/>
  <c r="BH39" i="39" s="1"/>
  <c r="BD39" i="39"/>
  <c r="BE39" i="39" s="1"/>
  <c r="AZ39" i="39"/>
  <c r="BA39" i="39" s="1"/>
  <c r="BB39" i="39" s="1"/>
  <c r="AT39" i="39"/>
  <c r="AU39" i="39" s="1"/>
  <c r="AV39" i="39" s="1"/>
  <c r="AO39" i="39"/>
  <c r="AP39" i="39" s="1"/>
  <c r="AQ39" i="39" s="1"/>
  <c r="AJ39" i="39"/>
  <c r="AK39" i="39" s="1"/>
  <c r="AL39" i="39" s="1"/>
  <c r="AF39" i="39"/>
  <c r="AG39" i="39" s="1"/>
  <c r="AC39" i="39"/>
  <c r="AD39" i="39" s="1"/>
  <c r="Y39" i="39"/>
  <c r="Z39" i="39" s="1"/>
  <c r="AA39" i="39" s="1"/>
  <c r="T39" i="39"/>
  <c r="U39" i="39" s="1"/>
  <c r="V39" i="39" s="1"/>
  <c r="P39" i="39"/>
  <c r="M39" i="39"/>
  <c r="N39" i="39" s="1"/>
  <c r="O39" i="39" s="1"/>
  <c r="J39" i="39"/>
  <c r="F39" i="39"/>
  <c r="G39" i="39" s="1"/>
  <c r="H39" i="39" s="1"/>
  <c r="BG38" i="39"/>
  <c r="BH38" i="39" s="1"/>
  <c r="BD38" i="39"/>
  <c r="BE38" i="39" s="1"/>
  <c r="BA38" i="39"/>
  <c r="BB38" i="39" s="1"/>
  <c r="AU38" i="39"/>
  <c r="AV38" i="39" s="1"/>
  <c r="AP38" i="39"/>
  <c r="AQ38" i="39" s="1"/>
  <c r="AK38" i="39"/>
  <c r="AL38" i="39" s="1"/>
  <c r="AF38" i="39"/>
  <c r="AG38" i="39" s="1"/>
  <c r="AC38" i="39"/>
  <c r="AD38" i="39" s="1"/>
  <c r="Y38" i="39"/>
  <c r="Z38" i="39" s="1"/>
  <c r="AA38" i="39" s="1"/>
  <c r="T38" i="39"/>
  <c r="U38" i="39" s="1"/>
  <c r="V38" i="39" s="1"/>
  <c r="P38" i="39"/>
  <c r="M38" i="39"/>
  <c r="N38" i="39" s="1"/>
  <c r="O38" i="39" s="1"/>
  <c r="J38" i="39"/>
  <c r="F38" i="39"/>
  <c r="G38" i="39" s="1"/>
  <c r="H38" i="39" s="1"/>
  <c r="BG37" i="39"/>
  <c r="BH37" i="39" s="1"/>
  <c r="BD37" i="39"/>
  <c r="BE37" i="39" s="1"/>
  <c r="AZ37" i="39"/>
  <c r="BA37" i="39" s="1"/>
  <c r="BB37" i="39" s="1"/>
  <c r="AT37" i="39"/>
  <c r="AU37" i="39" s="1"/>
  <c r="AV37" i="39" s="1"/>
  <c r="AP37" i="39"/>
  <c r="AQ37" i="39" s="1"/>
  <c r="AJ37" i="39"/>
  <c r="AK37" i="39" s="1"/>
  <c r="AL37" i="39" s="1"/>
  <c r="AF37" i="39"/>
  <c r="AG37" i="39" s="1"/>
  <c r="AC37" i="39"/>
  <c r="AD37" i="39" s="1"/>
  <c r="Y37" i="39"/>
  <c r="Z37" i="39" s="1"/>
  <c r="AA37" i="39" s="1"/>
  <c r="T37" i="39"/>
  <c r="U37" i="39" s="1"/>
  <c r="V37" i="39" s="1"/>
  <c r="P37" i="39"/>
  <c r="M37" i="39"/>
  <c r="N37" i="39" s="1"/>
  <c r="O37" i="39" s="1"/>
  <c r="J37" i="39"/>
  <c r="F37" i="39"/>
  <c r="G37" i="39" s="1"/>
  <c r="H37" i="39" s="1"/>
  <c r="BG35" i="39"/>
  <c r="BH35" i="39" s="1"/>
  <c r="BD35" i="39"/>
  <c r="BE35" i="39" s="1"/>
  <c r="AZ35" i="39"/>
  <c r="BA35" i="39" s="1"/>
  <c r="BB35" i="39" s="1"/>
  <c r="AT35" i="39"/>
  <c r="AU35" i="39" s="1"/>
  <c r="AV35" i="39" s="1"/>
  <c r="AP35" i="39"/>
  <c r="AQ35" i="39" s="1"/>
  <c r="AJ35" i="39"/>
  <c r="AK35" i="39" s="1"/>
  <c r="AL35" i="39" s="1"/>
  <c r="AF35" i="39"/>
  <c r="AG35" i="39" s="1"/>
  <c r="AC35" i="39"/>
  <c r="AD35" i="39" s="1"/>
  <c r="Y35" i="39"/>
  <c r="Z35" i="39" s="1"/>
  <c r="AA35" i="39" s="1"/>
  <c r="U35" i="39"/>
  <c r="V35" i="39" s="1"/>
  <c r="P35" i="39"/>
  <c r="M35" i="39"/>
  <c r="N35" i="39" s="1"/>
  <c r="O35" i="39" s="1"/>
  <c r="J35" i="39"/>
  <c r="F35" i="39"/>
  <c r="G35" i="39" s="1"/>
  <c r="H35" i="39" s="1"/>
  <c r="BG34" i="39"/>
  <c r="BH34" i="39" s="1"/>
  <c r="BD34" i="39"/>
  <c r="BE34" i="39" s="1"/>
  <c r="AZ34" i="39"/>
  <c r="BA34" i="39" s="1"/>
  <c r="BB34" i="39" s="1"/>
  <c r="AT34" i="39"/>
  <c r="AU34" i="39" s="1"/>
  <c r="AV34" i="39" s="1"/>
  <c r="AP34" i="39"/>
  <c r="AQ34" i="39" s="1"/>
  <c r="AJ34" i="39"/>
  <c r="AK34" i="39" s="1"/>
  <c r="AL34" i="39" s="1"/>
  <c r="AF34" i="39"/>
  <c r="AG34" i="39" s="1"/>
  <c r="AC34" i="39"/>
  <c r="AD34" i="39" s="1"/>
  <c r="Y34" i="39"/>
  <c r="Z34" i="39" s="1"/>
  <c r="AA34" i="39" s="1"/>
  <c r="T34" i="39"/>
  <c r="U34" i="39" s="1"/>
  <c r="V34" i="39" s="1"/>
  <c r="P34" i="39"/>
  <c r="M34" i="39"/>
  <c r="N34" i="39" s="1"/>
  <c r="O34" i="39" s="1"/>
  <c r="J34" i="39"/>
  <c r="F34" i="39"/>
  <c r="G34" i="39" s="1"/>
  <c r="H34" i="39" s="1"/>
  <c r="BG33" i="39"/>
  <c r="BH33" i="39" s="1"/>
  <c r="BD33" i="39"/>
  <c r="BE33" i="39" s="1"/>
  <c r="AZ33" i="39"/>
  <c r="BA33" i="39" s="1"/>
  <c r="BB33" i="39" s="1"/>
  <c r="AT33" i="39"/>
  <c r="AU33" i="39" s="1"/>
  <c r="AV33" i="39" s="1"/>
  <c r="AP33" i="39"/>
  <c r="AQ33" i="39" s="1"/>
  <c r="AJ33" i="39"/>
  <c r="AK33" i="39" s="1"/>
  <c r="AL33" i="39" s="1"/>
  <c r="AF33" i="39"/>
  <c r="AG33" i="39" s="1"/>
  <c r="AC33" i="39"/>
  <c r="AD33" i="39" s="1"/>
  <c r="Z33" i="39"/>
  <c r="AA33" i="39" s="1"/>
  <c r="T33" i="39"/>
  <c r="U33" i="39" s="1"/>
  <c r="V33" i="39" s="1"/>
  <c r="P33" i="39"/>
  <c r="M33" i="39"/>
  <c r="N33" i="39" s="1"/>
  <c r="O33" i="39" s="1"/>
  <c r="J33" i="39"/>
  <c r="F33" i="39"/>
  <c r="G33" i="39" s="1"/>
  <c r="H33" i="39" s="1"/>
  <c r="BG32" i="39"/>
  <c r="BH32" i="39" s="1"/>
  <c r="BD32" i="39"/>
  <c r="BE32" i="39" s="1"/>
  <c r="AZ32" i="39"/>
  <c r="BA32" i="39" s="1"/>
  <c r="BB32" i="39" s="1"/>
  <c r="AT32" i="39"/>
  <c r="AU32" i="39" s="1"/>
  <c r="AV32" i="39" s="1"/>
  <c r="AP32" i="39"/>
  <c r="AQ32" i="39" s="1"/>
  <c r="AJ32" i="39"/>
  <c r="AK32" i="39" s="1"/>
  <c r="AL32" i="39" s="1"/>
  <c r="AF32" i="39"/>
  <c r="AG32" i="39" s="1"/>
  <c r="AC32" i="39"/>
  <c r="AD32" i="39" s="1"/>
  <c r="Y32" i="39"/>
  <c r="Z32" i="39" s="1"/>
  <c r="AA32" i="39" s="1"/>
  <c r="T32" i="39"/>
  <c r="U32" i="39" s="1"/>
  <c r="V32" i="39" s="1"/>
  <c r="P32" i="39"/>
  <c r="M32" i="39"/>
  <c r="N32" i="39" s="1"/>
  <c r="O32" i="39" s="1"/>
  <c r="J32" i="39"/>
  <c r="F32" i="39"/>
  <c r="G32" i="39" s="1"/>
  <c r="H32" i="39" s="1"/>
  <c r="BG31" i="39"/>
  <c r="BH31" i="39" s="1"/>
  <c r="BD31" i="39"/>
  <c r="BE31" i="39" s="1"/>
  <c r="BA31" i="39"/>
  <c r="BB31" i="39" s="1"/>
  <c r="AU31" i="39"/>
  <c r="AV31" i="39" s="1"/>
  <c r="AP31" i="39"/>
  <c r="AQ31" i="39" s="1"/>
  <c r="AK31" i="39"/>
  <c r="AL31" i="39" s="1"/>
  <c r="AF31" i="39"/>
  <c r="AG31" i="39" s="1"/>
  <c r="AC31" i="39"/>
  <c r="AD31" i="39" s="1"/>
  <c r="Z31" i="39"/>
  <c r="AA31" i="39" s="1"/>
  <c r="U31" i="39"/>
  <c r="V31" i="39" s="1"/>
  <c r="P31" i="39"/>
  <c r="N31" i="39"/>
  <c r="O31" i="39" s="1"/>
  <c r="J31" i="39"/>
  <c r="G31" i="39"/>
  <c r="H31" i="39" s="1"/>
  <c r="BG30" i="39"/>
  <c r="BH30" i="39" s="1"/>
  <c r="BD30" i="39"/>
  <c r="BE30" i="39" s="1"/>
  <c r="BA30" i="39"/>
  <c r="BB30" i="39" s="1"/>
  <c r="AU30" i="39"/>
  <c r="AV30" i="39" s="1"/>
  <c r="AP30" i="39"/>
  <c r="AQ30" i="39" s="1"/>
  <c r="AK30" i="39"/>
  <c r="AL30" i="39" s="1"/>
  <c r="AF30" i="39"/>
  <c r="AG30" i="39" s="1"/>
  <c r="AC30" i="39"/>
  <c r="AD30" i="39" s="1"/>
  <c r="Y30" i="39"/>
  <c r="Z30" i="39" s="1"/>
  <c r="AA30" i="39" s="1"/>
  <c r="T30" i="39"/>
  <c r="U30" i="39" s="1"/>
  <c r="V30" i="39" s="1"/>
  <c r="P30" i="39"/>
  <c r="M30" i="39"/>
  <c r="N30" i="39" s="1"/>
  <c r="O30" i="39" s="1"/>
  <c r="J30" i="39"/>
  <c r="F30" i="39"/>
  <c r="G30" i="39" s="1"/>
  <c r="H30" i="39" s="1"/>
  <c r="BG29" i="39"/>
  <c r="BH29" i="39" s="1"/>
  <c r="BD29" i="39"/>
  <c r="BE29" i="39" s="1"/>
  <c r="AZ29" i="39"/>
  <c r="BA29" i="39" s="1"/>
  <c r="BB29" i="39" s="1"/>
  <c r="AT29" i="39"/>
  <c r="AU29" i="39" s="1"/>
  <c r="AV29" i="39" s="1"/>
  <c r="AP29" i="39"/>
  <c r="AQ29" i="39" s="1"/>
  <c r="AJ29" i="39"/>
  <c r="AK29" i="39" s="1"/>
  <c r="AL29" i="39" s="1"/>
  <c r="AF29" i="39"/>
  <c r="AG29" i="39" s="1"/>
  <c r="AC29" i="39"/>
  <c r="AD29" i="39" s="1"/>
  <c r="Y29" i="39"/>
  <c r="Z29" i="39" s="1"/>
  <c r="AA29" i="39" s="1"/>
  <c r="T29" i="39"/>
  <c r="U29" i="39" s="1"/>
  <c r="V29" i="39" s="1"/>
  <c r="P29" i="39"/>
  <c r="M29" i="39"/>
  <c r="N29" i="39" s="1"/>
  <c r="O29" i="39" s="1"/>
  <c r="J29" i="39"/>
  <c r="F29" i="39"/>
  <c r="G29" i="39" s="1"/>
  <c r="H29" i="39" s="1"/>
  <c r="BG28" i="39"/>
  <c r="BH28" i="39" s="1"/>
  <c r="BD28" i="39"/>
  <c r="BE28" i="39" s="1"/>
  <c r="BA28" i="39"/>
  <c r="BB28" i="39" s="1"/>
  <c r="AU28" i="39"/>
  <c r="AV28" i="39" s="1"/>
  <c r="AO28" i="39"/>
  <c r="AP28" i="39" s="1"/>
  <c r="AQ28" i="39" s="1"/>
  <c r="AJ28" i="39"/>
  <c r="AK28" i="39" s="1"/>
  <c r="AL28" i="39" s="1"/>
  <c r="AF28" i="39"/>
  <c r="AG28" i="39" s="1"/>
  <c r="AC28" i="39"/>
  <c r="AD28" i="39" s="1"/>
  <c r="Y28" i="39"/>
  <c r="Z28" i="39" s="1"/>
  <c r="AA28" i="39" s="1"/>
  <c r="T28" i="39"/>
  <c r="U28" i="39" s="1"/>
  <c r="V28" i="39" s="1"/>
  <c r="P28" i="39"/>
  <c r="M28" i="39"/>
  <c r="N28" i="39" s="1"/>
  <c r="O28" i="39" s="1"/>
  <c r="J28" i="39"/>
  <c r="F28" i="39"/>
  <c r="G28" i="39" s="1"/>
  <c r="H28" i="39" s="1"/>
  <c r="BG27" i="39"/>
  <c r="BH27" i="39" s="1"/>
  <c r="BD27" i="39"/>
  <c r="BE27" i="39" s="1"/>
  <c r="AZ27" i="39"/>
  <c r="BA27" i="39" s="1"/>
  <c r="BB27" i="39" s="1"/>
  <c r="AT27" i="39"/>
  <c r="AU27" i="39" s="1"/>
  <c r="AV27" i="39" s="1"/>
  <c r="AO27" i="39"/>
  <c r="AP27" i="39" s="1"/>
  <c r="AQ27" i="39" s="1"/>
  <c r="AJ27" i="39"/>
  <c r="AK27" i="39" s="1"/>
  <c r="AL27" i="39" s="1"/>
  <c r="AF27" i="39"/>
  <c r="AG27" i="39" s="1"/>
  <c r="AD27" i="39"/>
  <c r="Y27" i="39"/>
  <c r="Z27" i="39" s="1"/>
  <c r="AA27" i="39" s="1"/>
  <c r="T27" i="39"/>
  <c r="U27" i="39" s="1"/>
  <c r="V27" i="39" s="1"/>
  <c r="P27" i="39"/>
  <c r="M27" i="39"/>
  <c r="N27" i="39" s="1"/>
  <c r="O27" i="39" s="1"/>
  <c r="J27" i="39"/>
  <c r="F27" i="39"/>
  <c r="G27" i="39" s="1"/>
  <c r="H27" i="39" s="1"/>
  <c r="BG26" i="39"/>
  <c r="BH26" i="39" s="1"/>
  <c r="BD26" i="39"/>
  <c r="BE26" i="39" s="1"/>
  <c r="AZ26" i="39"/>
  <c r="AT26" i="39"/>
  <c r="AO26" i="39"/>
  <c r="AJ26" i="39"/>
  <c r="AF26" i="39"/>
  <c r="AG26" i="39" s="1"/>
  <c r="AC26" i="39"/>
  <c r="AD26" i="39" s="1"/>
  <c r="Y26" i="39"/>
  <c r="T26" i="39"/>
  <c r="P26" i="39"/>
  <c r="M26" i="39"/>
  <c r="N57" i="39" s="1"/>
  <c r="O57" i="39" s="1"/>
  <c r="F26" i="39"/>
  <c r="BG25" i="39"/>
  <c r="BH25" i="39" s="1"/>
  <c r="BD25" i="39"/>
  <c r="BE25" i="39" s="1"/>
  <c r="AZ25" i="39"/>
  <c r="BA25" i="39" s="1"/>
  <c r="BB25" i="39" s="1"/>
  <c r="AT25" i="39"/>
  <c r="AU25" i="39" s="1"/>
  <c r="AV25" i="39" s="1"/>
  <c r="AO25" i="39"/>
  <c r="AP25" i="39" s="1"/>
  <c r="AQ25" i="39" s="1"/>
  <c r="AJ25" i="39"/>
  <c r="AK25" i="39" s="1"/>
  <c r="AL25" i="39" s="1"/>
  <c r="AF25" i="39"/>
  <c r="AG25" i="39" s="1"/>
  <c r="AC25" i="39"/>
  <c r="AD25" i="39" s="1"/>
  <c r="Y25" i="39"/>
  <c r="Z25" i="39" s="1"/>
  <c r="AA25" i="39" s="1"/>
  <c r="T25" i="39"/>
  <c r="U25" i="39" s="1"/>
  <c r="V25" i="39" s="1"/>
  <c r="P25" i="39"/>
  <c r="M25" i="39"/>
  <c r="J25" i="39"/>
  <c r="F25" i="39"/>
  <c r="G25" i="39" s="1"/>
  <c r="H25" i="39" s="1"/>
  <c r="BG24" i="39"/>
  <c r="BH24" i="39" s="1"/>
  <c r="BD24" i="39"/>
  <c r="BE24" i="39" s="1"/>
  <c r="BA24" i="39"/>
  <c r="BB24" i="39" s="1"/>
  <c r="AT24" i="39"/>
  <c r="AU24" i="39" s="1"/>
  <c r="AV24" i="39" s="1"/>
  <c r="AO24" i="39"/>
  <c r="AP24" i="39" s="1"/>
  <c r="AQ24" i="39" s="1"/>
  <c r="AJ24" i="39"/>
  <c r="AK24" i="39" s="1"/>
  <c r="AL24" i="39" s="1"/>
  <c r="AF24" i="39"/>
  <c r="AG24" i="39" s="1"/>
  <c r="AC24" i="39"/>
  <c r="AD24" i="39" s="1"/>
  <c r="Y24" i="39"/>
  <c r="Z24" i="39" s="1"/>
  <c r="AA24" i="39" s="1"/>
  <c r="T24" i="39"/>
  <c r="U24" i="39" s="1"/>
  <c r="V24" i="39" s="1"/>
  <c r="P24" i="39"/>
  <c r="M24" i="39"/>
  <c r="J24" i="39"/>
  <c r="F24" i="39"/>
  <c r="G24" i="39" s="1"/>
  <c r="H24" i="39" s="1"/>
  <c r="BG23" i="39"/>
  <c r="BH23" i="39" s="1"/>
  <c r="BD23" i="39"/>
  <c r="BE23" i="39" s="1"/>
  <c r="BA23" i="39"/>
  <c r="BB23" i="39" s="1"/>
  <c r="AT23" i="39"/>
  <c r="AU23" i="39" s="1"/>
  <c r="AV23" i="39" s="1"/>
  <c r="AO23" i="39"/>
  <c r="AP23" i="39" s="1"/>
  <c r="AQ23" i="39" s="1"/>
  <c r="AJ23" i="39"/>
  <c r="AK23" i="39" s="1"/>
  <c r="AL23" i="39" s="1"/>
  <c r="AF23" i="39"/>
  <c r="AG23" i="39" s="1"/>
  <c r="AC23" i="39"/>
  <c r="AD23" i="39" s="1"/>
  <c r="Y23" i="39"/>
  <c r="Z23" i="39" s="1"/>
  <c r="AA23" i="39" s="1"/>
  <c r="T23" i="39"/>
  <c r="U23" i="39" s="1"/>
  <c r="V23" i="39" s="1"/>
  <c r="P23" i="39"/>
  <c r="M23" i="39"/>
  <c r="J23" i="39"/>
  <c r="F23" i="39"/>
  <c r="G23" i="39" s="1"/>
  <c r="H23" i="39" s="1"/>
  <c r="BD22" i="39"/>
  <c r="BE22" i="39" s="1"/>
  <c r="BA22" i="39"/>
  <c r="BB22" i="39" s="1"/>
  <c r="AT22" i="39"/>
  <c r="AU22" i="39" s="1"/>
  <c r="AV22" i="39" s="1"/>
  <c r="AP22" i="39"/>
  <c r="AQ22" i="39" s="1"/>
  <c r="AJ22" i="39"/>
  <c r="AK22" i="39" s="1"/>
  <c r="AL22" i="39" s="1"/>
  <c r="AF22" i="39"/>
  <c r="AG22" i="39" s="1"/>
  <c r="AC22" i="39"/>
  <c r="AD22" i="39" s="1"/>
  <c r="Y22" i="39"/>
  <c r="Z22" i="39" s="1"/>
  <c r="AA22" i="39" s="1"/>
  <c r="T22" i="39"/>
  <c r="U22" i="39" s="1"/>
  <c r="V22" i="39" s="1"/>
  <c r="P22" i="39"/>
  <c r="M22" i="39"/>
  <c r="J22" i="39"/>
  <c r="F22" i="39"/>
  <c r="G22" i="39" s="1"/>
  <c r="H22" i="39" s="1"/>
  <c r="BG21" i="39"/>
  <c r="BH21" i="39" s="1"/>
  <c r="BD21" i="39"/>
  <c r="BE21" i="39" s="1"/>
  <c r="BA21" i="39"/>
  <c r="BB21" i="39" s="1"/>
  <c r="AT21" i="39"/>
  <c r="AU21" i="39" s="1"/>
  <c r="AV21" i="39" s="1"/>
  <c r="AP21" i="39"/>
  <c r="AQ21" i="39" s="1"/>
  <c r="AJ21" i="39"/>
  <c r="AK21" i="39" s="1"/>
  <c r="AL21" i="39" s="1"/>
  <c r="AF21" i="39"/>
  <c r="AG21" i="39" s="1"/>
  <c r="AC21" i="39"/>
  <c r="AD21" i="39" s="1"/>
  <c r="Y21" i="39"/>
  <c r="Z21" i="39" s="1"/>
  <c r="AA21" i="39" s="1"/>
  <c r="T21" i="39"/>
  <c r="U21" i="39" s="1"/>
  <c r="V21" i="39" s="1"/>
  <c r="P21" i="39"/>
  <c r="M21" i="39"/>
  <c r="J21" i="39"/>
  <c r="F21" i="39"/>
  <c r="G21" i="39" s="1"/>
  <c r="H21" i="39" s="1"/>
  <c r="BG20" i="39"/>
  <c r="BH20" i="39" s="1"/>
  <c r="BD20" i="39"/>
  <c r="BE20" i="39" s="1"/>
  <c r="BA20" i="39"/>
  <c r="BB20" i="39" s="1"/>
  <c r="AT20" i="39"/>
  <c r="AU20" i="39" s="1"/>
  <c r="AV20" i="39" s="1"/>
  <c r="AP20" i="39"/>
  <c r="AQ20" i="39" s="1"/>
  <c r="AK20" i="39"/>
  <c r="AL20" i="39" s="1"/>
  <c r="AF20" i="39"/>
  <c r="AG20" i="39" s="1"/>
  <c r="AC20" i="39"/>
  <c r="AD20" i="39" s="1"/>
  <c r="Y20" i="39"/>
  <c r="Z20" i="39" s="1"/>
  <c r="AA20" i="39" s="1"/>
  <c r="T20" i="39"/>
  <c r="U20" i="39" s="1"/>
  <c r="V20" i="39" s="1"/>
  <c r="P20" i="39"/>
  <c r="M20" i="39"/>
  <c r="J20" i="39"/>
  <c r="F20" i="39"/>
  <c r="G20" i="39" s="1"/>
  <c r="H20" i="39" s="1"/>
  <c r="BG19" i="39"/>
  <c r="BH19" i="39" s="1"/>
  <c r="BD19" i="39"/>
  <c r="BE19" i="39" s="1"/>
  <c r="BA19" i="39"/>
  <c r="BB19" i="39" s="1"/>
  <c r="AU19" i="39"/>
  <c r="AV19" i="39" s="1"/>
  <c r="AP19" i="39"/>
  <c r="AQ19" i="39" s="1"/>
  <c r="AK19" i="39"/>
  <c r="AL19" i="39" s="1"/>
  <c r="AF19" i="39"/>
  <c r="AG19" i="39" s="1"/>
  <c r="AC19" i="39"/>
  <c r="AD19" i="39" s="1"/>
  <c r="Y19" i="39"/>
  <c r="Z19" i="39" s="1"/>
  <c r="AA19" i="39" s="1"/>
  <c r="T19" i="39"/>
  <c r="U19" i="39" s="1"/>
  <c r="V19" i="39" s="1"/>
  <c r="P19" i="39"/>
  <c r="M19" i="39"/>
  <c r="J19" i="39"/>
  <c r="F19" i="39"/>
  <c r="G19" i="39" s="1"/>
  <c r="H19" i="39" s="1"/>
  <c r="BG18" i="39"/>
  <c r="BH18" i="39" s="1"/>
  <c r="BD18" i="39"/>
  <c r="BE18" i="39" s="1"/>
  <c r="BA18" i="39"/>
  <c r="BB18" i="39" s="1"/>
  <c r="AU18" i="39"/>
  <c r="AV18" i="39" s="1"/>
  <c r="AP18" i="39"/>
  <c r="AQ18" i="39" s="1"/>
  <c r="AK18" i="39"/>
  <c r="AL18" i="39" s="1"/>
  <c r="AF18" i="39"/>
  <c r="AG18" i="39" s="1"/>
  <c r="AC18" i="39"/>
  <c r="AD18" i="39" s="1"/>
  <c r="Z18" i="39"/>
  <c r="AA18" i="39" s="1"/>
  <c r="T18" i="39"/>
  <c r="U18" i="39" s="1"/>
  <c r="V18" i="39" s="1"/>
  <c r="P18" i="39"/>
  <c r="M18" i="39"/>
  <c r="J18" i="39"/>
  <c r="F18" i="39"/>
  <c r="G18" i="39" s="1"/>
  <c r="H18" i="39" s="1"/>
  <c r="BG17" i="39"/>
  <c r="BH17" i="39" s="1"/>
  <c r="BD17" i="39"/>
  <c r="BE17" i="39" s="1"/>
  <c r="AZ17" i="39"/>
  <c r="BA17" i="39" s="1"/>
  <c r="BB17" i="39" s="1"/>
  <c r="AT17" i="39"/>
  <c r="AU17" i="39" s="1"/>
  <c r="AV17" i="39" s="1"/>
  <c r="AO17" i="39"/>
  <c r="AP17" i="39" s="1"/>
  <c r="AQ17" i="39" s="1"/>
  <c r="AJ17" i="39"/>
  <c r="AK17" i="39" s="1"/>
  <c r="AL17" i="39" s="1"/>
  <c r="AF17" i="39"/>
  <c r="AG17" i="39" s="1"/>
  <c r="AC17" i="39"/>
  <c r="AD17" i="39" s="1"/>
  <c r="Y17" i="39"/>
  <c r="Z17" i="39" s="1"/>
  <c r="AA17" i="39" s="1"/>
  <c r="T17" i="39"/>
  <c r="U17" i="39" s="1"/>
  <c r="V17" i="39" s="1"/>
  <c r="P17" i="39"/>
  <c r="M17" i="39"/>
  <c r="J17" i="39"/>
  <c r="F17" i="39"/>
  <c r="G17" i="39" s="1"/>
  <c r="H17" i="39" s="1"/>
  <c r="BG16" i="39"/>
  <c r="BH16" i="39" s="1"/>
  <c r="BD16" i="39"/>
  <c r="BE16" i="39" s="1"/>
  <c r="AZ16" i="39"/>
  <c r="BA16" i="39" s="1"/>
  <c r="BB16" i="39" s="1"/>
  <c r="AU16" i="39"/>
  <c r="AV16" i="39" s="1"/>
  <c r="AO16" i="39"/>
  <c r="AP16" i="39" s="1"/>
  <c r="AQ16" i="39" s="1"/>
  <c r="AJ16" i="39"/>
  <c r="AK16" i="39" s="1"/>
  <c r="AL16" i="39" s="1"/>
  <c r="AF16" i="39"/>
  <c r="AG16" i="39" s="1"/>
  <c r="AC16" i="39"/>
  <c r="AD16" i="39" s="1"/>
  <c r="Y16" i="39"/>
  <c r="Z16" i="39" s="1"/>
  <c r="AA16" i="39" s="1"/>
  <c r="T16" i="39"/>
  <c r="P16" i="39"/>
  <c r="M16" i="39"/>
  <c r="J16" i="39"/>
  <c r="F16" i="39"/>
  <c r="G16" i="39" s="1"/>
  <c r="H16" i="39" s="1"/>
  <c r="BG15" i="39"/>
  <c r="BH15" i="39" s="1"/>
  <c r="BD15" i="39"/>
  <c r="BE15" i="39" s="1"/>
  <c r="AZ15" i="39"/>
  <c r="BA15" i="39" s="1"/>
  <c r="BB15" i="39" s="1"/>
  <c r="AT15" i="39"/>
  <c r="AU15" i="39" s="1"/>
  <c r="AV15" i="39" s="1"/>
  <c r="AO15" i="39"/>
  <c r="AP15" i="39" s="1"/>
  <c r="AQ15" i="39" s="1"/>
  <c r="AJ15" i="39"/>
  <c r="AK15" i="39" s="1"/>
  <c r="AL15" i="39" s="1"/>
  <c r="AF15" i="39"/>
  <c r="AG15" i="39" s="1"/>
  <c r="AC15" i="39"/>
  <c r="AD15" i="39" s="1"/>
  <c r="Y15" i="39"/>
  <c r="Z15" i="39" s="1"/>
  <c r="AA15" i="39" s="1"/>
  <c r="T15" i="39"/>
  <c r="U15" i="39" s="1"/>
  <c r="V15" i="39" s="1"/>
  <c r="P15" i="39"/>
  <c r="M15" i="39"/>
  <c r="J15" i="39"/>
  <c r="F15" i="39"/>
  <c r="G15" i="39" s="1"/>
  <c r="H15" i="39" s="1"/>
  <c r="BG14" i="39"/>
  <c r="BH14" i="39" s="1"/>
  <c r="BD14" i="39"/>
  <c r="BE14" i="39" s="1"/>
  <c r="AZ14" i="39"/>
  <c r="BA14" i="39" s="1"/>
  <c r="BB14" i="39" s="1"/>
  <c r="AT14" i="39"/>
  <c r="AU14" i="39" s="1"/>
  <c r="AV14" i="39" s="1"/>
  <c r="AO14" i="39"/>
  <c r="AP14" i="39" s="1"/>
  <c r="AQ14" i="39" s="1"/>
  <c r="AJ14" i="39"/>
  <c r="AK14" i="39" s="1"/>
  <c r="AL14" i="39" s="1"/>
  <c r="AF14" i="39"/>
  <c r="AG14" i="39" s="1"/>
  <c r="AC14" i="39"/>
  <c r="AD14" i="39" s="1"/>
  <c r="Y14" i="39"/>
  <c r="Z14" i="39" s="1"/>
  <c r="AA14" i="39" s="1"/>
  <c r="T14" i="39"/>
  <c r="U14" i="39" s="1"/>
  <c r="V14" i="39" s="1"/>
  <c r="P14" i="39"/>
  <c r="M14" i="39"/>
  <c r="J14" i="39"/>
  <c r="F14" i="39"/>
  <c r="G14" i="39" s="1"/>
  <c r="H14" i="39" s="1"/>
  <c r="BG13" i="39"/>
  <c r="BH13" i="39" s="1"/>
  <c r="BD13" i="39"/>
  <c r="BE13" i="39" s="1"/>
  <c r="AZ13" i="39"/>
  <c r="BA13" i="39" s="1"/>
  <c r="BB13" i="39" s="1"/>
  <c r="AT13" i="39"/>
  <c r="AU13" i="39" s="1"/>
  <c r="AV13" i="39" s="1"/>
  <c r="AO13" i="39"/>
  <c r="AP13" i="39" s="1"/>
  <c r="AQ13" i="39" s="1"/>
  <c r="AJ13" i="39"/>
  <c r="AK13" i="39" s="1"/>
  <c r="AL13" i="39" s="1"/>
  <c r="AF13" i="39"/>
  <c r="AG13" i="39" s="1"/>
  <c r="AC13" i="39"/>
  <c r="AD13" i="39" s="1"/>
  <c r="Y13" i="39"/>
  <c r="Z13" i="39" s="1"/>
  <c r="AA13" i="39" s="1"/>
  <c r="T13" i="39"/>
  <c r="U13" i="39" s="1"/>
  <c r="V13" i="39" s="1"/>
  <c r="M13" i="39"/>
  <c r="N13" i="39" s="1"/>
  <c r="J13" i="39"/>
  <c r="F13" i="39"/>
  <c r="G13" i="39" s="1"/>
  <c r="H13" i="39" s="1"/>
  <c r="BG12" i="39"/>
  <c r="BH12" i="39" s="1"/>
  <c r="BD12" i="39"/>
  <c r="BE12" i="39" s="1"/>
  <c r="AZ12" i="39"/>
  <c r="BA12" i="39" s="1"/>
  <c r="BB12" i="39" s="1"/>
  <c r="AT12" i="39"/>
  <c r="AU12" i="39" s="1"/>
  <c r="AV12" i="39" s="1"/>
  <c r="AO12" i="39"/>
  <c r="AP12" i="39" s="1"/>
  <c r="AQ12" i="39" s="1"/>
  <c r="AJ12" i="39"/>
  <c r="AK12" i="39" s="1"/>
  <c r="AL12" i="39" s="1"/>
  <c r="AF12" i="39"/>
  <c r="AG12" i="39" s="1"/>
  <c r="AC12" i="39"/>
  <c r="AD12" i="39" s="1"/>
  <c r="Y12" i="39"/>
  <c r="Z12" i="39" s="1"/>
  <c r="AA12" i="39" s="1"/>
  <c r="T12" i="39"/>
  <c r="U12" i="39" s="1"/>
  <c r="V12" i="39" s="1"/>
  <c r="P12" i="39"/>
  <c r="M12" i="39"/>
  <c r="N12" i="39" s="1"/>
  <c r="O11" i="39" s="1"/>
  <c r="J12" i="39"/>
  <c r="F12" i="39"/>
  <c r="G12" i="39" s="1"/>
  <c r="H12" i="39" s="1"/>
  <c r="BG11" i="39"/>
  <c r="BH11" i="39" s="1"/>
  <c r="BD11" i="39"/>
  <c r="BE11" i="39" s="1"/>
  <c r="AZ11" i="39"/>
  <c r="AT11" i="39"/>
  <c r="AU11" i="39" s="1"/>
  <c r="AV11" i="39" s="1"/>
  <c r="AO11" i="39"/>
  <c r="AP11" i="39" s="1"/>
  <c r="AQ11" i="39" s="1"/>
  <c r="AJ11" i="39"/>
  <c r="AK11" i="39" s="1"/>
  <c r="AL11" i="39" s="1"/>
  <c r="AF11" i="39"/>
  <c r="AG11" i="39" s="1"/>
  <c r="AC11" i="39"/>
  <c r="AD11" i="39" s="1"/>
  <c r="Y11" i="39"/>
  <c r="Z11" i="39" s="1"/>
  <c r="AA11" i="39" s="1"/>
  <c r="T11" i="39"/>
  <c r="U11" i="39" s="1"/>
  <c r="V11" i="39" s="1"/>
  <c r="P11" i="39"/>
  <c r="M11" i="39"/>
  <c r="N11" i="39" s="1"/>
  <c r="J11" i="39"/>
  <c r="F11" i="39"/>
  <c r="G11" i="39" s="1"/>
  <c r="H11" i="39" s="1"/>
  <c r="P10" i="39"/>
  <c r="P9" i="39"/>
  <c r="Q9" i="39" s="1"/>
  <c r="T18" i="38"/>
  <c r="F18" i="38"/>
  <c r="M18" i="38"/>
  <c r="M26" i="38"/>
  <c r="G26" i="39" l="1"/>
  <c r="H26" i="39" s="1"/>
  <c r="G57" i="39"/>
  <c r="H57" i="39" s="1"/>
  <c r="Z26" i="39"/>
  <c r="AA26" i="39" s="1"/>
  <c r="Z57" i="39"/>
  <c r="AA57" i="39" s="1"/>
  <c r="AP26" i="39"/>
  <c r="AQ26" i="39" s="1"/>
  <c r="AP57" i="39"/>
  <c r="AQ57" i="39" s="1"/>
  <c r="AU26" i="39"/>
  <c r="AV26" i="39" s="1"/>
  <c r="BJ26" i="39" s="1"/>
  <c r="AU57" i="39"/>
  <c r="AV57" i="39" s="1"/>
  <c r="BA26" i="39"/>
  <c r="BB26" i="39" s="1"/>
  <c r="BA57" i="39"/>
  <c r="BB57" i="39" s="1"/>
  <c r="U26" i="39"/>
  <c r="V26" i="39" s="1"/>
  <c r="U57" i="39"/>
  <c r="V57" i="39" s="1"/>
  <c r="AK26" i="39"/>
  <c r="AL26" i="39" s="1"/>
  <c r="AK57" i="39"/>
  <c r="AL57" i="39" s="1"/>
  <c r="BI11" i="39"/>
  <c r="BI58" i="39"/>
  <c r="BI15" i="40"/>
  <c r="BI20" i="40"/>
  <c r="BI23" i="40"/>
  <c r="BI27" i="40"/>
  <c r="BI32" i="40"/>
  <c r="BI36" i="40"/>
  <c r="BJ36" i="40"/>
  <c r="BI13" i="40"/>
  <c r="BI14" i="40"/>
  <c r="BI19" i="40"/>
  <c r="BI24" i="40"/>
  <c r="AG28" i="40"/>
  <c r="BI28" i="40" s="1"/>
  <c r="BI29" i="40"/>
  <c r="BI37" i="40"/>
  <c r="BI40" i="40"/>
  <c r="BI45" i="40"/>
  <c r="BI49" i="40"/>
  <c r="BI53" i="40"/>
  <c r="BI57" i="40"/>
  <c r="BI61" i="40"/>
  <c r="BI68" i="40"/>
  <c r="BI25" i="40"/>
  <c r="BI30" i="40"/>
  <c r="BJ33" i="40"/>
  <c r="BI34" i="40"/>
  <c r="BI42" i="40"/>
  <c r="BI52" i="40"/>
  <c r="BI56" i="40"/>
  <c r="BI60" i="40"/>
  <c r="BI64" i="40"/>
  <c r="BI17" i="40"/>
  <c r="BI21" i="40"/>
  <c r="BI22" i="40"/>
  <c r="BI31" i="40"/>
  <c r="BI35" i="40"/>
  <c r="BI39" i="40"/>
  <c r="BI43" i="40"/>
  <c r="BI47" i="40"/>
  <c r="BI51" i="40"/>
  <c r="BI55" i="40"/>
  <c r="BI59" i="40"/>
  <c r="BI44" i="40"/>
  <c r="BI46" i="40"/>
  <c r="BI54" i="40"/>
  <c r="BI58" i="40"/>
  <c r="BI62" i="40"/>
  <c r="BI65" i="40"/>
  <c r="N14" i="39"/>
  <c r="O14" i="39" s="1"/>
  <c r="BI14" i="39" s="1"/>
  <c r="N18" i="39"/>
  <c r="O18" i="39" s="1"/>
  <c r="BI18" i="39" s="1"/>
  <c r="N22" i="39"/>
  <c r="O22" i="39" s="1"/>
  <c r="BI22" i="39" s="1"/>
  <c r="N23" i="39"/>
  <c r="O23" i="39" s="1"/>
  <c r="BI23" i="39" s="1"/>
  <c r="BJ38" i="39"/>
  <c r="BJ53" i="39"/>
  <c r="N15" i="39"/>
  <c r="O15" i="39" s="1"/>
  <c r="BI15" i="39" s="1"/>
  <c r="N17" i="39"/>
  <c r="O17" i="39" s="1"/>
  <c r="BI17" i="39" s="1"/>
  <c r="N19" i="39"/>
  <c r="O19" i="39" s="1"/>
  <c r="BI19" i="39" s="1"/>
  <c r="N26" i="39"/>
  <c r="O26" i="39" s="1"/>
  <c r="BI30" i="39"/>
  <c r="O13" i="39"/>
  <c r="BI13" i="39" s="1"/>
  <c r="O12" i="39"/>
  <c r="BJ33" i="39"/>
  <c r="BJ48" i="40"/>
  <c r="BJ51" i="40"/>
  <c r="BJ21" i="40"/>
  <c r="BJ58" i="40"/>
  <c r="BA11" i="39"/>
  <c r="BB11" i="39" s="1"/>
  <c r="BJ11" i="39" s="1"/>
  <c r="BI33" i="40"/>
  <c r="BJ30" i="39"/>
  <c r="BI48" i="40"/>
  <c r="BK48" i="40" s="1"/>
  <c r="BJ18" i="39"/>
  <c r="BA31" i="40"/>
  <c r="BB31" i="40" s="1"/>
  <c r="BJ31" i="40" s="1"/>
  <c r="BI18" i="40"/>
  <c r="BI26" i="40"/>
  <c r="N16" i="39"/>
  <c r="O16" i="39" s="1"/>
  <c r="N25" i="39"/>
  <c r="O25" i="39" s="1"/>
  <c r="BI25" i="39" s="1"/>
  <c r="N24" i="39"/>
  <c r="O24" i="39" s="1"/>
  <c r="BI24" i="39" s="1"/>
  <c r="N20" i="39"/>
  <c r="O20" i="39" s="1"/>
  <c r="BI20" i="39" s="1"/>
  <c r="N21" i="39"/>
  <c r="O21" i="39" s="1"/>
  <c r="BI21" i="39" s="1"/>
  <c r="Z66" i="40"/>
  <c r="AA66" i="40" s="1"/>
  <c r="BI66" i="40" s="1"/>
  <c r="U16" i="39"/>
  <c r="V16" i="39" s="1"/>
  <c r="BJ27" i="40"/>
  <c r="BJ64" i="40"/>
  <c r="BJ39" i="40"/>
  <c r="BJ55" i="40"/>
  <c r="BJ61" i="40"/>
  <c r="BJ62" i="40"/>
  <c r="BJ30" i="40"/>
  <c r="BJ52" i="40"/>
  <c r="BJ13" i="40"/>
  <c r="BJ17" i="40"/>
  <c r="BJ40" i="40"/>
  <c r="BJ47" i="40"/>
  <c r="BJ26" i="40"/>
  <c r="BJ41" i="39"/>
  <c r="BJ42" i="39"/>
  <c r="BJ29" i="39"/>
  <c r="BJ19" i="39"/>
  <c r="BJ23" i="39"/>
  <c r="BJ21" i="39"/>
  <c r="BJ45" i="39"/>
  <c r="BI56" i="39"/>
  <c r="BJ49" i="39"/>
  <c r="BI52" i="39"/>
  <c r="BJ50" i="39"/>
  <c r="BJ56" i="39"/>
  <c r="BJ24" i="39"/>
  <c r="BJ12" i="39"/>
  <c r="BJ20" i="39"/>
  <c r="BI34" i="39"/>
  <c r="BJ48" i="39"/>
  <c r="BI49" i="39"/>
  <c r="BI47" i="39"/>
  <c r="BJ52" i="39"/>
  <c r="BJ18" i="40"/>
  <c r="BJ15" i="40"/>
  <c r="BJ22" i="40"/>
  <c r="BJ45" i="40"/>
  <c r="BJ23" i="40"/>
  <c r="BJ24" i="40"/>
  <c r="BJ25" i="40"/>
  <c r="BJ42" i="40"/>
  <c r="BJ32" i="40"/>
  <c r="BJ19" i="40"/>
  <c r="BJ20" i="40"/>
  <c r="BJ35" i="40"/>
  <c r="BJ53" i="40"/>
  <c r="BJ37" i="40"/>
  <c r="BJ43" i="40"/>
  <c r="BJ46" i="40"/>
  <c r="BJ57" i="40"/>
  <c r="BJ28" i="40"/>
  <c r="BJ29" i="40"/>
  <c r="BJ34" i="40"/>
  <c r="BK34" i="40" s="1"/>
  <c r="BJ54" i="40"/>
  <c r="BJ44" i="40"/>
  <c r="BJ60" i="40"/>
  <c r="BJ66" i="40"/>
  <c r="BJ56" i="40"/>
  <c r="BJ59" i="40"/>
  <c r="BJ49" i="40"/>
  <c r="BJ68" i="40"/>
  <c r="BJ13" i="39"/>
  <c r="BJ15" i="39"/>
  <c r="BJ14" i="39"/>
  <c r="BJ16" i="39"/>
  <c r="BI12" i="39"/>
  <c r="BJ17" i="39"/>
  <c r="BI35" i="39"/>
  <c r="BJ25" i="39"/>
  <c r="BI50" i="39"/>
  <c r="BI29" i="39"/>
  <c r="BJ35" i="39"/>
  <c r="BK35" i="39" s="1"/>
  <c r="BI38" i="39"/>
  <c r="BI41" i="39"/>
  <c r="BI42" i="39"/>
  <c r="BI27" i="39"/>
  <c r="BJ27" i="39"/>
  <c r="BI28" i="39"/>
  <c r="BI32" i="39"/>
  <c r="BJ32" i="39"/>
  <c r="BI33" i="39"/>
  <c r="BJ37" i="39"/>
  <c r="BI39" i="39"/>
  <c r="BI51" i="39"/>
  <c r="BJ34" i="39"/>
  <c r="BI37" i="39"/>
  <c r="BJ39" i="39"/>
  <c r="BI45" i="39"/>
  <c r="BJ47" i="39"/>
  <c r="BI48" i="39"/>
  <c r="BI54" i="39"/>
  <c r="BI53" i="39"/>
  <c r="BJ51" i="39"/>
  <c r="BJ54" i="39"/>
  <c r="BJ58" i="39"/>
  <c r="F70" i="38"/>
  <c r="M70" i="38"/>
  <c r="N70" i="38" s="1"/>
  <c r="O70" i="38" s="1"/>
  <c r="T70" i="38"/>
  <c r="U70" i="38" s="1"/>
  <c r="V70" i="38" s="1"/>
  <c r="Z70" i="38"/>
  <c r="AA70" i="38" s="1"/>
  <c r="AC70" i="38"/>
  <c r="AD70" i="38" s="1"/>
  <c r="AF70" i="38"/>
  <c r="AG70" i="38" s="1"/>
  <c r="AJ70" i="38"/>
  <c r="AK70" i="38" s="1"/>
  <c r="AL70" i="38" s="1"/>
  <c r="AP70" i="38"/>
  <c r="AQ70" i="38" s="1"/>
  <c r="AU70" i="38"/>
  <c r="AV70" i="38" s="1"/>
  <c r="BA70" i="38"/>
  <c r="BB70" i="38" s="1"/>
  <c r="BD70" i="38"/>
  <c r="BE70" i="38" s="1"/>
  <c r="BG70" i="38"/>
  <c r="BH70" i="38" s="1"/>
  <c r="F71" i="38"/>
  <c r="G71" i="38" s="1"/>
  <c r="H71" i="38" s="1"/>
  <c r="M71" i="38"/>
  <c r="N71" i="38" s="1"/>
  <c r="O71" i="38" s="1"/>
  <c r="T71" i="38"/>
  <c r="U71" i="38" s="1"/>
  <c r="V71" i="38" s="1"/>
  <c r="Z71" i="38"/>
  <c r="AA71" i="38" s="1"/>
  <c r="AC71" i="38"/>
  <c r="AD71" i="38" s="1"/>
  <c r="AF71" i="38"/>
  <c r="AG71" i="38" s="1"/>
  <c r="AJ71" i="38"/>
  <c r="AK71" i="38" s="1"/>
  <c r="AL71" i="38" s="1"/>
  <c r="AO71" i="38"/>
  <c r="AP71" i="38" s="1"/>
  <c r="AQ71" i="38" s="1"/>
  <c r="AV71" i="38"/>
  <c r="BA71" i="38"/>
  <c r="BB71" i="38" s="1"/>
  <c r="BD71" i="38"/>
  <c r="BE71" i="38" s="1"/>
  <c r="BH71" i="38"/>
  <c r="F72" i="38"/>
  <c r="G72" i="38" s="1"/>
  <c r="H72" i="38" s="1"/>
  <c r="M72" i="38"/>
  <c r="N72" i="38" s="1"/>
  <c r="O72" i="38" s="1"/>
  <c r="T72" i="38"/>
  <c r="U72" i="38" s="1"/>
  <c r="V72" i="38" s="1"/>
  <c r="Z72" i="38"/>
  <c r="AA72" i="38" s="1"/>
  <c r="AC72" i="38"/>
  <c r="AD72" i="38" s="1"/>
  <c r="AF72" i="38"/>
  <c r="AG72" i="38" s="1"/>
  <c r="AJ72" i="38"/>
  <c r="AK72" i="38" s="1"/>
  <c r="AL72" i="38" s="1"/>
  <c r="AO72" i="38"/>
  <c r="AP72" i="38" s="1"/>
  <c r="AQ72" i="38" s="1"/>
  <c r="AU72" i="38"/>
  <c r="AV72" i="38" s="1"/>
  <c r="BA72" i="38"/>
  <c r="BB72" i="38" s="1"/>
  <c r="BD72" i="38"/>
  <c r="BE72" i="38" s="1"/>
  <c r="BH72" i="38"/>
  <c r="BH73" i="38"/>
  <c r="BD73" i="38"/>
  <c r="BE73" i="38" s="1"/>
  <c r="BA73" i="38"/>
  <c r="BB73" i="38" s="1"/>
  <c r="AU73" i="38"/>
  <c r="AV73" i="38" s="1"/>
  <c r="AO73" i="38"/>
  <c r="AP73" i="38" s="1"/>
  <c r="AQ73" i="38" s="1"/>
  <c r="AJ73" i="38"/>
  <c r="AK73" i="38" s="1"/>
  <c r="AL73" i="38" s="1"/>
  <c r="AF73" i="38"/>
  <c r="AG73" i="38" s="1"/>
  <c r="AC73" i="38"/>
  <c r="AD73" i="38" s="1"/>
  <c r="Z73" i="38"/>
  <c r="AA73" i="38" s="1"/>
  <c r="T73" i="38"/>
  <c r="U73" i="38" s="1"/>
  <c r="V73" i="38" s="1"/>
  <c r="M73" i="38"/>
  <c r="N73" i="38" s="1"/>
  <c r="O73" i="38" s="1"/>
  <c r="F73" i="38"/>
  <c r="G73" i="38" s="1"/>
  <c r="H73" i="38" s="1"/>
  <c r="BH59" i="38"/>
  <c r="BD59" i="38"/>
  <c r="BE59" i="38" s="1"/>
  <c r="BA59" i="38"/>
  <c r="BB59" i="38" s="1"/>
  <c r="AU59" i="38"/>
  <c r="AV59" i="38" s="1"/>
  <c r="AP59" i="38"/>
  <c r="AQ59" i="38" s="1"/>
  <c r="AJ59" i="38"/>
  <c r="AK59" i="38" s="1"/>
  <c r="AL59" i="38" s="1"/>
  <c r="AF59" i="38"/>
  <c r="AG59" i="38" s="1"/>
  <c r="AC59" i="38"/>
  <c r="AD59" i="38" s="1"/>
  <c r="Y59" i="38"/>
  <c r="Z59" i="38" s="1"/>
  <c r="AA59" i="38" s="1"/>
  <c r="T59" i="38"/>
  <c r="U59" i="38" s="1"/>
  <c r="V59" i="38" s="1"/>
  <c r="M59" i="38"/>
  <c r="N59" i="38" s="1"/>
  <c r="O59" i="38" s="1"/>
  <c r="F59" i="38"/>
  <c r="G59" i="38" s="1"/>
  <c r="H59" i="38" s="1"/>
  <c r="BH58" i="38"/>
  <c r="BD58" i="38"/>
  <c r="BE58" i="38" s="1"/>
  <c r="BA58" i="38"/>
  <c r="BB58" i="38" s="1"/>
  <c r="AU58" i="38"/>
  <c r="AV58" i="38" s="1"/>
  <c r="AP58" i="38"/>
  <c r="AQ58" i="38" s="1"/>
  <c r="AJ58" i="38"/>
  <c r="AK58" i="38" s="1"/>
  <c r="AL58" i="38" s="1"/>
  <c r="AF58" i="38"/>
  <c r="AG58" i="38" s="1"/>
  <c r="AC58" i="38"/>
  <c r="AD58" i="38" s="1"/>
  <c r="Y58" i="38"/>
  <c r="Z58" i="38" s="1"/>
  <c r="AA58" i="38" s="1"/>
  <c r="T58" i="38"/>
  <c r="U58" i="38" s="1"/>
  <c r="V58" i="38" s="1"/>
  <c r="M58" i="38"/>
  <c r="N58" i="38" s="1"/>
  <c r="O58" i="38" s="1"/>
  <c r="F58" i="38"/>
  <c r="G58" i="38" s="1"/>
  <c r="H58" i="38" s="1"/>
  <c r="BH57" i="38"/>
  <c r="BD57" i="38"/>
  <c r="BE57" i="38" s="1"/>
  <c r="BA57" i="38"/>
  <c r="BB57" i="38" s="1"/>
  <c r="AU57" i="38"/>
  <c r="AV57" i="38" s="1"/>
  <c r="AP57" i="38"/>
  <c r="AQ57" i="38" s="1"/>
  <c r="AJ57" i="38"/>
  <c r="AK57" i="38" s="1"/>
  <c r="AL57" i="38" s="1"/>
  <c r="AF57" i="38"/>
  <c r="AG57" i="38" s="1"/>
  <c r="AC57" i="38"/>
  <c r="AD57" i="38" s="1"/>
  <c r="Y57" i="38"/>
  <c r="Z57" i="38" s="1"/>
  <c r="AA57" i="38" s="1"/>
  <c r="T57" i="38"/>
  <c r="U57" i="38" s="1"/>
  <c r="V57" i="38" s="1"/>
  <c r="M57" i="38"/>
  <c r="N57" i="38" s="1"/>
  <c r="O57" i="38" s="1"/>
  <c r="F57" i="38"/>
  <c r="G57" i="38" s="1"/>
  <c r="H57" i="38" s="1"/>
  <c r="BH56" i="38"/>
  <c r="BD56" i="38"/>
  <c r="BE56" i="38" s="1"/>
  <c r="BA56" i="38"/>
  <c r="BB56" i="38" s="1"/>
  <c r="AU56" i="38"/>
  <c r="AV56" i="38" s="1"/>
  <c r="AP56" i="38"/>
  <c r="AQ56" i="38" s="1"/>
  <c r="AJ56" i="38"/>
  <c r="AK56" i="38" s="1"/>
  <c r="AL56" i="38" s="1"/>
  <c r="AF56" i="38"/>
  <c r="AG56" i="38" s="1"/>
  <c r="AC56" i="38"/>
  <c r="AD56" i="38" s="1"/>
  <c r="Y56" i="38"/>
  <c r="Z56" i="38" s="1"/>
  <c r="AA56" i="38" s="1"/>
  <c r="T56" i="38"/>
  <c r="U56" i="38" s="1"/>
  <c r="V56" i="38" s="1"/>
  <c r="M56" i="38"/>
  <c r="N56" i="38" s="1"/>
  <c r="O56" i="38" s="1"/>
  <c r="F56" i="38"/>
  <c r="G56" i="38" s="1"/>
  <c r="H56" i="38" s="1"/>
  <c r="BH55" i="38"/>
  <c r="BD55" i="38"/>
  <c r="BE55" i="38" s="1"/>
  <c r="BA55" i="38"/>
  <c r="BB55" i="38" s="1"/>
  <c r="AU55" i="38"/>
  <c r="AV55" i="38" s="1"/>
  <c r="AP55" i="38"/>
  <c r="AQ55" i="38" s="1"/>
  <c r="AJ55" i="38"/>
  <c r="AK55" i="38" s="1"/>
  <c r="AL55" i="38" s="1"/>
  <c r="AF55" i="38"/>
  <c r="AG55" i="38" s="1"/>
  <c r="AC55" i="38"/>
  <c r="AD55" i="38" s="1"/>
  <c r="Y55" i="38"/>
  <c r="Z55" i="38" s="1"/>
  <c r="AA55" i="38" s="1"/>
  <c r="T55" i="38"/>
  <c r="U55" i="38" s="1"/>
  <c r="V55" i="38" s="1"/>
  <c r="M55" i="38"/>
  <c r="N55" i="38" s="1"/>
  <c r="O55" i="38" s="1"/>
  <c r="F55" i="38"/>
  <c r="G55" i="38" s="1"/>
  <c r="H55" i="38" s="1"/>
  <c r="BG54" i="38"/>
  <c r="BH54" i="38" s="1"/>
  <c r="BD54" i="38"/>
  <c r="BE54" i="38" s="1"/>
  <c r="BA54" i="38"/>
  <c r="BB54" i="38" s="1"/>
  <c r="AU54" i="38"/>
  <c r="AV54" i="38" s="1"/>
  <c r="AP54" i="38"/>
  <c r="AQ54" i="38" s="1"/>
  <c r="AJ54" i="38"/>
  <c r="AK54" i="38" s="1"/>
  <c r="AL54" i="38" s="1"/>
  <c r="AF54" i="38"/>
  <c r="AG54" i="38" s="1"/>
  <c r="AC54" i="38"/>
  <c r="AD54" i="38" s="1"/>
  <c r="Y54" i="38"/>
  <c r="Z54" i="38" s="1"/>
  <c r="AA54" i="38" s="1"/>
  <c r="T54" i="38"/>
  <c r="U54" i="38" s="1"/>
  <c r="V54" i="38" s="1"/>
  <c r="M54" i="38"/>
  <c r="N54" i="38" s="1"/>
  <c r="O54" i="38" s="1"/>
  <c r="F54" i="38"/>
  <c r="G54" i="38" s="1"/>
  <c r="H54" i="38" s="1"/>
  <c r="BG53" i="38"/>
  <c r="BH53" i="38" s="1"/>
  <c r="BD53" i="38"/>
  <c r="BE53" i="38" s="1"/>
  <c r="BA53" i="38"/>
  <c r="BB53" i="38" s="1"/>
  <c r="AU53" i="38"/>
  <c r="AV53" i="38" s="1"/>
  <c r="AP53" i="38"/>
  <c r="AQ53" i="38" s="1"/>
  <c r="AK53" i="38"/>
  <c r="AL53" i="38" s="1"/>
  <c r="AF53" i="38"/>
  <c r="AG53" i="38" s="1"/>
  <c r="AC53" i="38"/>
  <c r="AD53" i="38" s="1"/>
  <c r="Z53" i="38"/>
  <c r="AA53" i="38" s="1"/>
  <c r="U53" i="38"/>
  <c r="V53" i="38" s="1"/>
  <c r="N53" i="38"/>
  <c r="O53" i="38" s="1"/>
  <c r="F53" i="38"/>
  <c r="G53" i="38" s="1"/>
  <c r="H53" i="38" s="1"/>
  <c r="BG52" i="38"/>
  <c r="BH52" i="38" s="1"/>
  <c r="BD52" i="38"/>
  <c r="BE52" i="38" s="1"/>
  <c r="BA52" i="38"/>
  <c r="BB52" i="38" s="1"/>
  <c r="AU52" i="38"/>
  <c r="AV52" i="38" s="1"/>
  <c r="AP52" i="38"/>
  <c r="AQ52" i="38" s="1"/>
  <c r="AJ52" i="38"/>
  <c r="AK52" i="38" s="1"/>
  <c r="AL52" i="38" s="1"/>
  <c r="AF52" i="38"/>
  <c r="AG52" i="38" s="1"/>
  <c r="AC52" i="38"/>
  <c r="AD52" i="38" s="1"/>
  <c r="Y52" i="38"/>
  <c r="Z52" i="38" s="1"/>
  <c r="AA52" i="38" s="1"/>
  <c r="T52" i="38"/>
  <c r="U52" i="38" s="1"/>
  <c r="V52" i="38" s="1"/>
  <c r="M52" i="38"/>
  <c r="N52" i="38" s="1"/>
  <c r="O52" i="38" s="1"/>
  <c r="F52" i="38"/>
  <c r="G52" i="38" s="1"/>
  <c r="H52" i="38" s="1"/>
  <c r="BG51" i="38"/>
  <c r="BH51" i="38" s="1"/>
  <c r="BD51" i="38"/>
  <c r="BE51" i="38" s="1"/>
  <c r="BA51" i="38"/>
  <c r="BB51" i="38" s="1"/>
  <c r="AU51" i="38"/>
  <c r="AV51" i="38" s="1"/>
  <c r="AP51" i="38"/>
  <c r="AQ51" i="38" s="1"/>
  <c r="AJ51" i="38"/>
  <c r="AK51" i="38" s="1"/>
  <c r="AL51" i="38" s="1"/>
  <c r="AF51" i="38"/>
  <c r="AG51" i="38" s="1"/>
  <c r="AC51" i="38"/>
  <c r="AD51" i="38" s="1"/>
  <c r="Y51" i="38"/>
  <c r="Z51" i="38" s="1"/>
  <c r="AA51" i="38" s="1"/>
  <c r="T51" i="38"/>
  <c r="U51" i="38" s="1"/>
  <c r="V51" i="38" s="1"/>
  <c r="M51" i="38"/>
  <c r="N51" i="38" s="1"/>
  <c r="O51" i="38" s="1"/>
  <c r="F51" i="38"/>
  <c r="G51" i="38" s="1"/>
  <c r="H51" i="38" s="1"/>
  <c r="BG50" i="38"/>
  <c r="BH50" i="38" s="1"/>
  <c r="BE50" i="38"/>
  <c r="BA50" i="38"/>
  <c r="BB50" i="38" s="1"/>
  <c r="AU50" i="38"/>
  <c r="AV50" i="38" s="1"/>
  <c r="AP50" i="38"/>
  <c r="AQ50" i="38" s="1"/>
  <c r="AJ50" i="38"/>
  <c r="AK50" i="38" s="1"/>
  <c r="AL50" i="38" s="1"/>
  <c r="AF50" i="38"/>
  <c r="AG50" i="38" s="1"/>
  <c r="AC50" i="38"/>
  <c r="AD50" i="38" s="1"/>
  <c r="Y50" i="38"/>
  <c r="Z50" i="38" s="1"/>
  <c r="AA50" i="38" s="1"/>
  <c r="T50" i="38"/>
  <c r="U50" i="38" s="1"/>
  <c r="V50" i="38" s="1"/>
  <c r="M50" i="38"/>
  <c r="N50" i="38" s="1"/>
  <c r="O50" i="38" s="1"/>
  <c r="F50" i="38"/>
  <c r="G50" i="38" s="1"/>
  <c r="H50" i="38" s="1"/>
  <c r="BG49" i="38"/>
  <c r="BH49" i="38" s="1"/>
  <c r="BD49" i="38"/>
  <c r="BE49" i="38" s="1"/>
  <c r="BA49" i="38"/>
  <c r="BB49" i="38" s="1"/>
  <c r="AU49" i="38"/>
  <c r="AV49" i="38" s="1"/>
  <c r="AP49" i="38"/>
  <c r="AQ49" i="38" s="1"/>
  <c r="AJ49" i="38"/>
  <c r="AK49" i="38" s="1"/>
  <c r="AL49" i="38" s="1"/>
  <c r="AF49" i="38"/>
  <c r="AG49" i="38" s="1"/>
  <c r="AC49" i="38"/>
  <c r="AD49" i="38" s="1"/>
  <c r="Y49" i="38"/>
  <c r="Z49" i="38" s="1"/>
  <c r="AA49" i="38" s="1"/>
  <c r="T49" i="38"/>
  <c r="U49" i="38" s="1"/>
  <c r="V49" i="38" s="1"/>
  <c r="M49" i="38"/>
  <c r="N49" i="38" s="1"/>
  <c r="O49" i="38" s="1"/>
  <c r="F49" i="38"/>
  <c r="G49" i="38" s="1"/>
  <c r="H49" i="38" s="1"/>
  <c r="BG48" i="38"/>
  <c r="BH48" i="38" s="1"/>
  <c r="BD48" i="38"/>
  <c r="BE48" i="38" s="1"/>
  <c r="BA48" i="38"/>
  <c r="BB48" i="38" s="1"/>
  <c r="AU48" i="38"/>
  <c r="AV48" i="38" s="1"/>
  <c r="AP48" i="38"/>
  <c r="AQ48" i="38" s="1"/>
  <c r="AJ48" i="38"/>
  <c r="AK48" i="38" s="1"/>
  <c r="AL48" i="38" s="1"/>
  <c r="AF48" i="38"/>
  <c r="AG48" i="38" s="1"/>
  <c r="AC48" i="38"/>
  <c r="AD48" i="38" s="1"/>
  <c r="Z48" i="38"/>
  <c r="AA48" i="38" s="1"/>
  <c r="T48" i="38"/>
  <c r="U48" i="38" s="1"/>
  <c r="V48" i="38" s="1"/>
  <c r="M48" i="38"/>
  <c r="N48" i="38" s="1"/>
  <c r="O48" i="38" s="1"/>
  <c r="F48" i="38"/>
  <c r="G48" i="38" s="1"/>
  <c r="H48" i="38" s="1"/>
  <c r="BG47" i="38"/>
  <c r="BH47" i="38" s="1"/>
  <c r="BD47" i="38"/>
  <c r="BE47" i="38" s="1"/>
  <c r="BA47" i="38"/>
  <c r="BB47" i="38" s="1"/>
  <c r="AU47" i="38"/>
  <c r="AV47" i="38" s="1"/>
  <c r="AP47" i="38"/>
  <c r="AQ47" i="38" s="1"/>
  <c r="AK47" i="38"/>
  <c r="AL47" i="38" s="1"/>
  <c r="AF47" i="38"/>
  <c r="AG47" i="38" s="1"/>
  <c r="AC47" i="38"/>
  <c r="AD47" i="38" s="1"/>
  <c r="Z47" i="38"/>
  <c r="AA47" i="38" s="1"/>
  <c r="U47" i="38"/>
  <c r="V47" i="38" s="1"/>
  <c r="N47" i="38"/>
  <c r="O47" i="38" s="1"/>
  <c r="G47" i="38"/>
  <c r="H47" i="38" s="1"/>
  <c r="BG46" i="38"/>
  <c r="BH46" i="38" s="1"/>
  <c r="BD46" i="38"/>
  <c r="BE46" i="38" s="1"/>
  <c r="BA46" i="38"/>
  <c r="BB46" i="38" s="1"/>
  <c r="AU46" i="38"/>
  <c r="AV46" i="38" s="1"/>
  <c r="AP46" i="38"/>
  <c r="AQ46" i="38" s="1"/>
  <c r="AJ46" i="38"/>
  <c r="AK46" i="38" s="1"/>
  <c r="AL46" i="38" s="1"/>
  <c r="AF46" i="38"/>
  <c r="AG46" i="38" s="1"/>
  <c r="AC46" i="38"/>
  <c r="AD46" i="38" s="1"/>
  <c r="Y46" i="38"/>
  <c r="Z46" i="38" s="1"/>
  <c r="AA46" i="38" s="1"/>
  <c r="T46" i="38"/>
  <c r="U46" i="38" s="1"/>
  <c r="V46" i="38" s="1"/>
  <c r="M46" i="38"/>
  <c r="N46" i="38" s="1"/>
  <c r="O46" i="38" s="1"/>
  <c r="F46" i="38"/>
  <c r="G46" i="38" s="1"/>
  <c r="H46" i="38" s="1"/>
  <c r="BG45" i="38"/>
  <c r="BH45" i="38" s="1"/>
  <c r="BD45" i="38"/>
  <c r="BE45" i="38" s="1"/>
  <c r="BA45" i="38"/>
  <c r="BB45" i="38" s="1"/>
  <c r="AU45" i="38"/>
  <c r="AV45" i="38" s="1"/>
  <c r="AP45" i="38"/>
  <c r="AQ45" i="38" s="1"/>
  <c r="AJ45" i="38"/>
  <c r="AK45" i="38" s="1"/>
  <c r="AL45" i="38" s="1"/>
  <c r="AF45" i="38"/>
  <c r="AG45" i="38" s="1"/>
  <c r="AC45" i="38"/>
  <c r="AD45" i="38" s="1"/>
  <c r="Y45" i="38"/>
  <c r="Z45" i="38" s="1"/>
  <c r="AA45" i="38" s="1"/>
  <c r="T45" i="38"/>
  <c r="U45" i="38" s="1"/>
  <c r="V45" i="38" s="1"/>
  <c r="M45" i="38"/>
  <c r="N45" i="38" s="1"/>
  <c r="O45" i="38" s="1"/>
  <c r="F45" i="38"/>
  <c r="G45" i="38" s="1"/>
  <c r="H45" i="38" s="1"/>
  <c r="BG44" i="38"/>
  <c r="BH44" i="38" s="1"/>
  <c r="BD44" i="38"/>
  <c r="BE44" i="38" s="1"/>
  <c r="BA44" i="38"/>
  <c r="BB44" i="38" s="1"/>
  <c r="AU44" i="38"/>
  <c r="AV44" i="38" s="1"/>
  <c r="AP44" i="38"/>
  <c r="AQ44" i="38" s="1"/>
  <c r="AJ44" i="38"/>
  <c r="AK44" i="38" s="1"/>
  <c r="AL44" i="38" s="1"/>
  <c r="AF44" i="38"/>
  <c r="AG44" i="38" s="1"/>
  <c r="AC44" i="38"/>
  <c r="AD44" i="38" s="1"/>
  <c r="Y44" i="38"/>
  <c r="Z44" i="38" s="1"/>
  <c r="AA44" i="38" s="1"/>
  <c r="T44" i="38"/>
  <c r="U44" i="38" s="1"/>
  <c r="V44" i="38" s="1"/>
  <c r="M44" i="38"/>
  <c r="N44" i="38" s="1"/>
  <c r="O44" i="38" s="1"/>
  <c r="F44" i="38"/>
  <c r="G44" i="38" s="1"/>
  <c r="H44" i="38" s="1"/>
  <c r="BG43" i="38"/>
  <c r="BH43" i="38" s="1"/>
  <c r="BD43" i="38"/>
  <c r="BE43" i="38" s="1"/>
  <c r="BA43" i="38"/>
  <c r="BB43" i="38" s="1"/>
  <c r="AU43" i="38"/>
  <c r="AV43" i="38" s="1"/>
  <c r="AP43" i="38"/>
  <c r="AQ43" i="38" s="1"/>
  <c r="AJ43" i="38"/>
  <c r="AK43" i="38" s="1"/>
  <c r="AL43" i="38" s="1"/>
  <c r="AF43" i="38"/>
  <c r="AG43" i="38" s="1"/>
  <c r="AC43" i="38"/>
  <c r="AD43" i="38" s="1"/>
  <c r="Y43" i="38"/>
  <c r="Z43" i="38" s="1"/>
  <c r="AA43" i="38" s="1"/>
  <c r="T43" i="38"/>
  <c r="U43" i="38" s="1"/>
  <c r="V43" i="38" s="1"/>
  <c r="M43" i="38"/>
  <c r="N43" i="38" s="1"/>
  <c r="O43" i="38" s="1"/>
  <c r="F43" i="38"/>
  <c r="G43" i="38" s="1"/>
  <c r="H43" i="38" s="1"/>
  <c r="BG42" i="38"/>
  <c r="BH42" i="38" s="1"/>
  <c r="BD42" i="38"/>
  <c r="BE42" i="38" s="1"/>
  <c r="BA42" i="38"/>
  <c r="BB42" i="38" s="1"/>
  <c r="AU42" i="38"/>
  <c r="AV42" i="38" s="1"/>
  <c r="AP42" i="38"/>
  <c r="AQ42" i="38" s="1"/>
  <c r="AJ42" i="38"/>
  <c r="AK42" i="38" s="1"/>
  <c r="AL42" i="38" s="1"/>
  <c r="AF42" i="38"/>
  <c r="AG42" i="38" s="1"/>
  <c r="AC42" i="38"/>
  <c r="AD42" i="38" s="1"/>
  <c r="Y42" i="38"/>
  <c r="Z42" i="38" s="1"/>
  <c r="AA42" i="38" s="1"/>
  <c r="T42" i="38"/>
  <c r="U42" i="38" s="1"/>
  <c r="V42" i="38" s="1"/>
  <c r="P42" i="38"/>
  <c r="M42" i="38"/>
  <c r="N42" i="38" s="1"/>
  <c r="O42" i="38" s="1"/>
  <c r="J42" i="38"/>
  <c r="F42" i="38"/>
  <c r="G42" i="38" s="1"/>
  <c r="H42" i="38" s="1"/>
  <c r="BG41" i="38"/>
  <c r="BH41" i="38" s="1"/>
  <c r="BD41" i="38"/>
  <c r="BE41" i="38" s="1"/>
  <c r="BA41" i="38"/>
  <c r="BB41" i="38" s="1"/>
  <c r="AU41" i="38"/>
  <c r="AV41" i="38" s="1"/>
  <c r="AP41" i="38"/>
  <c r="AQ41" i="38" s="1"/>
  <c r="AJ41" i="38"/>
  <c r="AK41" i="38" s="1"/>
  <c r="AL41" i="38" s="1"/>
  <c r="AF41" i="38"/>
  <c r="AG41" i="38" s="1"/>
  <c r="AC41" i="38"/>
  <c r="AD41" i="38" s="1"/>
  <c r="Y41" i="38"/>
  <c r="Z41" i="38" s="1"/>
  <c r="AA41" i="38" s="1"/>
  <c r="T41" i="38"/>
  <c r="U41" i="38" s="1"/>
  <c r="V41" i="38" s="1"/>
  <c r="P41" i="38"/>
  <c r="M41" i="38"/>
  <c r="N41" i="38" s="1"/>
  <c r="O41" i="38" s="1"/>
  <c r="J41" i="38"/>
  <c r="F41" i="38"/>
  <c r="G41" i="38" s="1"/>
  <c r="H41" i="38" s="1"/>
  <c r="BG40" i="38"/>
  <c r="BH40" i="38" s="1"/>
  <c r="BD40" i="38"/>
  <c r="BE40" i="38" s="1"/>
  <c r="BA40" i="38"/>
  <c r="BB40" i="38" s="1"/>
  <c r="AU40" i="38"/>
  <c r="AV40" i="38" s="1"/>
  <c r="AP40" i="38"/>
  <c r="AQ40" i="38" s="1"/>
  <c r="AJ40" i="38"/>
  <c r="AK40" i="38" s="1"/>
  <c r="AL40" i="38" s="1"/>
  <c r="AF40" i="38"/>
  <c r="AG40" i="38" s="1"/>
  <c r="AC40" i="38"/>
  <c r="AD40" i="38" s="1"/>
  <c r="Y40" i="38"/>
  <c r="Z40" i="38" s="1"/>
  <c r="AA40" i="38" s="1"/>
  <c r="T40" i="38"/>
  <c r="U40" i="38" s="1"/>
  <c r="V40" i="38" s="1"/>
  <c r="P40" i="38"/>
  <c r="M40" i="38"/>
  <c r="N40" i="38" s="1"/>
  <c r="O40" i="38" s="1"/>
  <c r="J40" i="38"/>
  <c r="F40" i="38"/>
  <c r="G40" i="38" s="1"/>
  <c r="H40" i="38" s="1"/>
  <c r="BG39" i="38"/>
  <c r="BH39" i="38" s="1"/>
  <c r="BD39" i="38"/>
  <c r="BE39" i="38" s="1"/>
  <c r="BA39" i="38"/>
  <c r="BB39" i="38" s="1"/>
  <c r="AU39" i="38"/>
  <c r="AV39" i="38" s="1"/>
  <c r="AP39" i="38"/>
  <c r="AQ39" i="38" s="1"/>
  <c r="AJ39" i="38"/>
  <c r="AK39" i="38" s="1"/>
  <c r="AL39" i="38" s="1"/>
  <c r="AF39" i="38"/>
  <c r="AG39" i="38" s="1"/>
  <c r="AC39" i="38"/>
  <c r="AD39" i="38" s="1"/>
  <c r="Y39" i="38"/>
  <c r="Z39" i="38" s="1"/>
  <c r="AA39" i="38" s="1"/>
  <c r="T39" i="38"/>
  <c r="U39" i="38" s="1"/>
  <c r="V39" i="38" s="1"/>
  <c r="P39" i="38"/>
  <c r="M39" i="38"/>
  <c r="N39" i="38" s="1"/>
  <c r="O39" i="38" s="1"/>
  <c r="J39" i="38"/>
  <c r="F39" i="38"/>
  <c r="G39" i="38" s="1"/>
  <c r="H39" i="38" s="1"/>
  <c r="BG38" i="38"/>
  <c r="BH38" i="38" s="1"/>
  <c r="BD38" i="38"/>
  <c r="BE38" i="38" s="1"/>
  <c r="BA38" i="38"/>
  <c r="BB38" i="38" s="1"/>
  <c r="AU38" i="38"/>
  <c r="AV38" i="38" s="1"/>
  <c r="AP38" i="38"/>
  <c r="AQ38" i="38" s="1"/>
  <c r="AK38" i="38"/>
  <c r="AL38" i="38" s="1"/>
  <c r="AF38" i="38"/>
  <c r="AG38" i="38" s="1"/>
  <c r="AC38" i="38"/>
  <c r="AD38" i="38" s="1"/>
  <c r="Y38" i="38"/>
  <c r="Z38" i="38" s="1"/>
  <c r="AA38" i="38" s="1"/>
  <c r="T38" i="38"/>
  <c r="U38" i="38" s="1"/>
  <c r="V38" i="38" s="1"/>
  <c r="P38" i="38"/>
  <c r="M38" i="38"/>
  <c r="N38" i="38" s="1"/>
  <c r="O38" i="38" s="1"/>
  <c r="J38" i="38"/>
  <c r="F38" i="38"/>
  <c r="G38" i="38" s="1"/>
  <c r="H38" i="38" s="1"/>
  <c r="BG37" i="38"/>
  <c r="BH37" i="38" s="1"/>
  <c r="BD37" i="38"/>
  <c r="BE37" i="38" s="1"/>
  <c r="BA37" i="38"/>
  <c r="BB37" i="38" s="1"/>
  <c r="AU37" i="38"/>
  <c r="AV37" i="38" s="1"/>
  <c r="AP37" i="38"/>
  <c r="AQ37" i="38" s="1"/>
  <c r="AJ37" i="38"/>
  <c r="AK37" i="38" s="1"/>
  <c r="AL37" i="38" s="1"/>
  <c r="AF37" i="38"/>
  <c r="AG37" i="38" s="1"/>
  <c r="AC37" i="38"/>
  <c r="AD37" i="38" s="1"/>
  <c r="Y37" i="38"/>
  <c r="Z37" i="38" s="1"/>
  <c r="AA37" i="38" s="1"/>
  <c r="T37" i="38"/>
  <c r="U37" i="38" s="1"/>
  <c r="V37" i="38" s="1"/>
  <c r="P37" i="38"/>
  <c r="M37" i="38"/>
  <c r="N37" i="38" s="1"/>
  <c r="O37" i="38" s="1"/>
  <c r="J37" i="38"/>
  <c r="F37" i="38"/>
  <c r="G37" i="38" s="1"/>
  <c r="H37" i="38" s="1"/>
  <c r="BG36" i="38"/>
  <c r="BH36" i="38" s="1"/>
  <c r="BD36" i="38"/>
  <c r="BE36" i="38" s="1"/>
  <c r="BA36" i="38"/>
  <c r="BB36" i="38" s="1"/>
  <c r="AU36" i="38"/>
  <c r="AV36" i="38" s="1"/>
  <c r="AP36" i="38"/>
  <c r="AQ36" i="38" s="1"/>
  <c r="AJ36" i="38"/>
  <c r="AK36" i="38" s="1"/>
  <c r="AL36" i="38" s="1"/>
  <c r="AF36" i="38"/>
  <c r="AG36" i="38" s="1"/>
  <c r="AC36" i="38"/>
  <c r="AD36" i="38" s="1"/>
  <c r="Y36" i="38"/>
  <c r="Z36" i="38" s="1"/>
  <c r="AA36" i="38" s="1"/>
  <c r="T36" i="38"/>
  <c r="U36" i="38" s="1"/>
  <c r="V36" i="38" s="1"/>
  <c r="P36" i="38"/>
  <c r="M36" i="38"/>
  <c r="N36" i="38" s="1"/>
  <c r="O36" i="38" s="1"/>
  <c r="J36" i="38"/>
  <c r="F36" i="38"/>
  <c r="G36" i="38" s="1"/>
  <c r="H36" i="38" s="1"/>
  <c r="BG35" i="38"/>
  <c r="BH35" i="38" s="1"/>
  <c r="BD35" i="38"/>
  <c r="BE35" i="38" s="1"/>
  <c r="BA35" i="38"/>
  <c r="BB35" i="38" s="1"/>
  <c r="AU35" i="38"/>
  <c r="AV35" i="38" s="1"/>
  <c r="AP35" i="38"/>
  <c r="AQ35" i="38" s="1"/>
  <c r="AJ35" i="38"/>
  <c r="AK35" i="38" s="1"/>
  <c r="AL35" i="38" s="1"/>
  <c r="AF35" i="38"/>
  <c r="AG35" i="38" s="1"/>
  <c r="AC35" i="38"/>
  <c r="AD35" i="38" s="1"/>
  <c r="Y35" i="38"/>
  <c r="Z35" i="38" s="1"/>
  <c r="AA35" i="38" s="1"/>
  <c r="T35" i="38"/>
  <c r="U35" i="38" s="1"/>
  <c r="V35" i="38" s="1"/>
  <c r="P35" i="38"/>
  <c r="M35" i="38"/>
  <c r="N35" i="38" s="1"/>
  <c r="O35" i="38" s="1"/>
  <c r="J35" i="38"/>
  <c r="F35" i="38"/>
  <c r="G35" i="38" s="1"/>
  <c r="H35" i="38" s="1"/>
  <c r="BG34" i="38"/>
  <c r="BH34" i="38" s="1"/>
  <c r="BD34" i="38"/>
  <c r="BE34" i="38" s="1"/>
  <c r="BA34" i="38"/>
  <c r="BB34" i="38" s="1"/>
  <c r="AU34" i="38"/>
  <c r="AV34" i="38" s="1"/>
  <c r="AP34" i="38"/>
  <c r="AQ34" i="38" s="1"/>
  <c r="AJ34" i="38"/>
  <c r="AK34" i="38" s="1"/>
  <c r="AL34" i="38" s="1"/>
  <c r="AF34" i="38"/>
  <c r="AG34" i="38" s="1"/>
  <c r="AC34" i="38"/>
  <c r="AD34" i="38" s="1"/>
  <c r="Y34" i="38"/>
  <c r="Z34" i="38" s="1"/>
  <c r="AA34" i="38" s="1"/>
  <c r="U34" i="38"/>
  <c r="V34" i="38" s="1"/>
  <c r="P34" i="38"/>
  <c r="N34" i="38"/>
  <c r="O34" i="38" s="1"/>
  <c r="J34" i="38"/>
  <c r="F34" i="38"/>
  <c r="G34" i="38" s="1"/>
  <c r="H34" i="38" s="1"/>
  <c r="BG33" i="38"/>
  <c r="BH33" i="38" s="1"/>
  <c r="BD33" i="38"/>
  <c r="BE33" i="38" s="1"/>
  <c r="BA33" i="38"/>
  <c r="BB33" i="38" s="1"/>
  <c r="AU33" i="38"/>
  <c r="AV33" i="38" s="1"/>
  <c r="AP33" i="38"/>
  <c r="AQ33" i="38" s="1"/>
  <c r="AJ33" i="38"/>
  <c r="AK33" i="38" s="1"/>
  <c r="AL33" i="38" s="1"/>
  <c r="AF33" i="38"/>
  <c r="AG33" i="38" s="1"/>
  <c r="AD33" i="38"/>
  <c r="Y33" i="38"/>
  <c r="Z33" i="38" s="1"/>
  <c r="AA33" i="38" s="1"/>
  <c r="T33" i="38"/>
  <c r="U33" i="38" s="1"/>
  <c r="V33" i="38" s="1"/>
  <c r="P33" i="38"/>
  <c r="M33" i="38"/>
  <c r="N33" i="38" s="1"/>
  <c r="O33" i="38" s="1"/>
  <c r="J33" i="38"/>
  <c r="F33" i="38"/>
  <c r="G33" i="38" s="1"/>
  <c r="H33" i="38" s="1"/>
  <c r="BG32" i="38"/>
  <c r="BH32" i="38" s="1"/>
  <c r="BD32" i="38"/>
  <c r="BE32" i="38" s="1"/>
  <c r="BA32" i="38"/>
  <c r="BB32" i="38" s="1"/>
  <c r="AU32" i="38"/>
  <c r="AV32" i="38" s="1"/>
  <c r="AP32" i="38"/>
  <c r="AQ32" i="38" s="1"/>
  <c r="AJ32" i="38"/>
  <c r="AK32" i="38" s="1"/>
  <c r="AL32" i="38" s="1"/>
  <c r="AF32" i="38"/>
  <c r="AG32" i="38" s="1"/>
  <c r="AC32" i="38"/>
  <c r="AD32" i="38" s="1"/>
  <c r="Y32" i="38"/>
  <c r="Z32" i="38" s="1"/>
  <c r="AA32" i="38" s="1"/>
  <c r="T32" i="38"/>
  <c r="U32" i="38" s="1"/>
  <c r="V32" i="38" s="1"/>
  <c r="P32" i="38"/>
  <c r="M32" i="38"/>
  <c r="N32" i="38" s="1"/>
  <c r="O32" i="38" s="1"/>
  <c r="J32" i="38"/>
  <c r="F32" i="38"/>
  <c r="G32" i="38" s="1"/>
  <c r="H32" i="38" s="1"/>
  <c r="BG31" i="38"/>
  <c r="BH31" i="38" s="1"/>
  <c r="BD31" i="38"/>
  <c r="BE31" i="38" s="1"/>
  <c r="BA31" i="38"/>
  <c r="BB31" i="38" s="1"/>
  <c r="AU31" i="38"/>
  <c r="AV31" i="38" s="1"/>
  <c r="AP31" i="38"/>
  <c r="AQ31" i="38" s="1"/>
  <c r="AJ31" i="38"/>
  <c r="AK31" i="38" s="1"/>
  <c r="AL31" i="38" s="1"/>
  <c r="AF31" i="38"/>
  <c r="AG31" i="38" s="1"/>
  <c r="AC31" i="38"/>
  <c r="AD31" i="38" s="1"/>
  <c r="Y31" i="38"/>
  <c r="Z31" i="38" s="1"/>
  <c r="AA31" i="38" s="1"/>
  <c r="T31" i="38"/>
  <c r="U31" i="38" s="1"/>
  <c r="V31" i="38" s="1"/>
  <c r="P31" i="38"/>
  <c r="M31" i="38"/>
  <c r="N31" i="38" s="1"/>
  <c r="O31" i="38" s="1"/>
  <c r="J31" i="38"/>
  <c r="F31" i="38"/>
  <c r="G31" i="38" s="1"/>
  <c r="H31" i="38" s="1"/>
  <c r="BG30" i="38"/>
  <c r="BH30" i="38" s="1"/>
  <c r="BD30" i="38"/>
  <c r="BE30" i="38" s="1"/>
  <c r="BA30" i="38"/>
  <c r="BB30" i="38" s="1"/>
  <c r="AU30" i="38"/>
  <c r="AV30" i="38" s="1"/>
  <c r="AP30" i="38"/>
  <c r="AQ30" i="38" s="1"/>
  <c r="AK30" i="38"/>
  <c r="AL30" i="38" s="1"/>
  <c r="AF30" i="38"/>
  <c r="AG30" i="38" s="1"/>
  <c r="AC30" i="38"/>
  <c r="AD30" i="38" s="1"/>
  <c r="Y30" i="38"/>
  <c r="Z30" i="38" s="1"/>
  <c r="AA30" i="38" s="1"/>
  <c r="T30" i="38"/>
  <c r="U30" i="38" s="1"/>
  <c r="V30" i="38" s="1"/>
  <c r="P30" i="38"/>
  <c r="M30" i="38"/>
  <c r="N30" i="38" s="1"/>
  <c r="O30" i="38" s="1"/>
  <c r="J30" i="38"/>
  <c r="F30" i="38"/>
  <c r="G30" i="38" s="1"/>
  <c r="H30" i="38" s="1"/>
  <c r="BG29" i="38"/>
  <c r="BH29" i="38" s="1"/>
  <c r="BD29" i="38"/>
  <c r="BE29" i="38" s="1"/>
  <c r="BA29" i="38"/>
  <c r="BB29" i="38" s="1"/>
  <c r="AU29" i="38"/>
  <c r="AV29" i="38" s="1"/>
  <c r="AP29" i="38"/>
  <c r="AQ29" i="38" s="1"/>
  <c r="AJ29" i="38"/>
  <c r="AK29" i="38" s="1"/>
  <c r="AL29" i="38" s="1"/>
  <c r="AF29" i="38"/>
  <c r="AG29" i="38" s="1"/>
  <c r="AC29" i="38"/>
  <c r="AD29" i="38" s="1"/>
  <c r="Y29" i="38"/>
  <c r="Z29" i="38" s="1"/>
  <c r="AA29" i="38" s="1"/>
  <c r="T29" i="38"/>
  <c r="U29" i="38" s="1"/>
  <c r="V29" i="38" s="1"/>
  <c r="P29" i="38"/>
  <c r="M29" i="38"/>
  <c r="N29" i="38" s="1"/>
  <c r="O29" i="38" s="1"/>
  <c r="J29" i="38"/>
  <c r="F29" i="38"/>
  <c r="G29" i="38" s="1"/>
  <c r="H29" i="38" s="1"/>
  <c r="BG28" i="38"/>
  <c r="BH28" i="38" s="1"/>
  <c r="BD28" i="38"/>
  <c r="BE28" i="38" s="1"/>
  <c r="BA28" i="38"/>
  <c r="BB28" i="38" s="1"/>
  <c r="AU28" i="38"/>
  <c r="AV28" i="38" s="1"/>
  <c r="AP28" i="38"/>
  <c r="AQ28" i="38" s="1"/>
  <c r="AK28" i="38"/>
  <c r="AL28" i="38" s="1"/>
  <c r="AF28" i="38"/>
  <c r="AG28" i="38" s="1"/>
  <c r="AC28" i="38"/>
  <c r="AD28" i="38" s="1"/>
  <c r="Z28" i="38"/>
  <c r="AA28" i="38" s="1"/>
  <c r="U28" i="38"/>
  <c r="V28" i="38" s="1"/>
  <c r="P28" i="38"/>
  <c r="N28" i="38"/>
  <c r="O28" i="38" s="1"/>
  <c r="J28" i="38"/>
  <c r="G28" i="38"/>
  <c r="H28" i="38" s="1"/>
  <c r="BG27" i="38"/>
  <c r="BH27" i="38" s="1"/>
  <c r="BD27" i="38"/>
  <c r="BE27" i="38" s="1"/>
  <c r="BA27" i="38"/>
  <c r="BB27" i="38" s="1"/>
  <c r="AU27" i="38"/>
  <c r="AV27" i="38" s="1"/>
  <c r="AP27" i="38"/>
  <c r="AQ27" i="38" s="1"/>
  <c r="AK27" i="38"/>
  <c r="AL27" i="38" s="1"/>
  <c r="AF27" i="38"/>
  <c r="AG27" i="38" s="1"/>
  <c r="AC27" i="38"/>
  <c r="AD27" i="38" s="1"/>
  <c r="Z27" i="38"/>
  <c r="AA27" i="38" s="1"/>
  <c r="U27" i="38"/>
  <c r="V27" i="38" s="1"/>
  <c r="P27" i="38"/>
  <c r="N27" i="38"/>
  <c r="O27" i="38" s="1"/>
  <c r="J27" i="38"/>
  <c r="F27" i="38"/>
  <c r="G27" i="38" s="1"/>
  <c r="H27" i="38" s="1"/>
  <c r="BG26" i="38"/>
  <c r="BH26" i="38" s="1"/>
  <c r="BD26" i="38"/>
  <c r="BE26" i="38" s="1"/>
  <c r="BA26" i="38"/>
  <c r="BB26" i="38" s="1"/>
  <c r="AU26" i="38"/>
  <c r="AV26" i="38" s="1"/>
  <c r="AP26" i="38"/>
  <c r="AQ26" i="38" s="1"/>
  <c r="AJ26" i="38"/>
  <c r="AK26" i="38" s="1"/>
  <c r="AL26" i="38" s="1"/>
  <c r="AF26" i="38"/>
  <c r="AG26" i="38" s="1"/>
  <c r="AC26" i="38"/>
  <c r="AD26" i="38" s="1"/>
  <c r="Y26" i="38"/>
  <c r="Z26" i="38" s="1"/>
  <c r="AA26" i="38" s="1"/>
  <c r="T26" i="38"/>
  <c r="U26" i="38" s="1"/>
  <c r="V26" i="38" s="1"/>
  <c r="P26" i="38"/>
  <c r="N26" i="38"/>
  <c r="O26" i="38" s="1"/>
  <c r="F26" i="38"/>
  <c r="G26" i="38" s="1"/>
  <c r="H26" i="38" s="1"/>
  <c r="BG25" i="38"/>
  <c r="BH25" i="38" s="1"/>
  <c r="BD25" i="38"/>
  <c r="BE25" i="38" s="1"/>
  <c r="BA25" i="38"/>
  <c r="BB25" i="38" s="1"/>
  <c r="AU25" i="38"/>
  <c r="AV25" i="38" s="1"/>
  <c r="AP25" i="38"/>
  <c r="AQ25" i="38" s="1"/>
  <c r="AJ25" i="38"/>
  <c r="AK25" i="38" s="1"/>
  <c r="AL25" i="38" s="1"/>
  <c r="AF25" i="38"/>
  <c r="AG25" i="38" s="1"/>
  <c r="AC25" i="38"/>
  <c r="AD25" i="38" s="1"/>
  <c r="Y25" i="38"/>
  <c r="Z25" i="38" s="1"/>
  <c r="AA25" i="38" s="1"/>
  <c r="T25" i="38"/>
  <c r="U25" i="38" s="1"/>
  <c r="V25" i="38" s="1"/>
  <c r="P25" i="38"/>
  <c r="M25" i="38"/>
  <c r="N25" i="38" s="1"/>
  <c r="O25" i="38" s="1"/>
  <c r="J25" i="38"/>
  <c r="F25" i="38"/>
  <c r="G25" i="38" s="1"/>
  <c r="H25" i="38" s="1"/>
  <c r="BG24" i="38"/>
  <c r="BH24" i="38" s="1"/>
  <c r="BD24" i="38"/>
  <c r="BE24" i="38" s="1"/>
  <c r="BA24" i="38"/>
  <c r="BB24" i="38" s="1"/>
  <c r="AU24" i="38"/>
  <c r="AV24" i="38" s="1"/>
  <c r="AP24" i="38"/>
  <c r="AQ24" i="38" s="1"/>
  <c r="AK24" i="38"/>
  <c r="AL24" i="38" s="1"/>
  <c r="AF24" i="38"/>
  <c r="AG24" i="38" s="1"/>
  <c r="AC24" i="38"/>
  <c r="AD24" i="38" s="1"/>
  <c r="Y24" i="38"/>
  <c r="Z24" i="38" s="1"/>
  <c r="AA24" i="38" s="1"/>
  <c r="T24" i="38"/>
  <c r="U24" i="38" s="1"/>
  <c r="V24" i="38" s="1"/>
  <c r="P24" i="38"/>
  <c r="M24" i="38"/>
  <c r="N24" i="38" s="1"/>
  <c r="O24" i="38" s="1"/>
  <c r="J24" i="38"/>
  <c r="F24" i="38"/>
  <c r="G24" i="38" s="1"/>
  <c r="H24" i="38" s="1"/>
  <c r="BG23" i="38"/>
  <c r="BH23" i="38" s="1"/>
  <c r="BD23" i="38"/>
  <c r="BE23" i="38" s="1"/>
  <c r="BA23" i="38"/>
  <c r="BB23" i="38" s="1"/>
  <c r="AU23" i="38"/>
  <c r="AV23" i="38" s="1"/>
  <c r="AP23" i="38"/>
  <c r="AQ23" i="38" s="1"/>
  <c r="AJ23" i="38"/>
  <c r="AK23" i="38" s="1"/>
  <c r="AL23" i="38" s="1"/>
  <c r="AF23" i="38"/>
  <c r="AG23" i="38" s="1"/>
  <c r="AC23" i="38"/>
  <c r="AD23" i="38" s="1"/>
  <c r="Y23" i="38"/>
  <c r="Z23" i="38" s="1"/>
  <c r="AA23" i="38" s="1"/>
  <c r="T23" i="38"/>
  <c r="U23" i="38" s="1"/>
  <c r="V23" i="38" s="1"/>
  <c r="P23" i="38"/>
  <c r="M23" i="38"/>
  <c r="N23" i="38" s="1"/>
  <c r="O23" i="38" s="1"/>
  <c r="J23" i="38"/>
  <c r="F23" i="38"/>
  <c r="G23" i="38" s="1"/>
  <c r="H23" i="38" s="1"/>
  <c r="BG22" i="38"/>
  <c r="BH22" i="38" s="1"/>
  <c r="BD22" i="38"/>
  <c r="BE22" i="38" s="1"/>
  <c r="BA22" i="38"/>
  <c r="BB22" i="38" s="1"/>
  <c r="AU22" i="38"/>
  <c r="AV22" i="38" s="1"/>
  <c r="AP22" i="38"/>
  <c r="AQ22" i="38" s="1"/>
  <c r="AK22" i="38"/>
  <c r="AL22" i="38" s="1"/>
  <c r="AF22" i="38"/>
  <c r="AG22" i="38" s="1"/>
  <c r="AC22" i="38"/>
  <c r="AD22" i="38" s="1"/>
  <c r="Y22" i="38"/>
  <c r="Z22" i="38" s="1"/>
  <c r="AA22" i="38" s="1"/>
  <c r="T22" i="38"/>
  <c r="U22" i="38" s="1"/>
  <c r="V22" i="38" s="1"/>
  <c r="P22" i="38"/>
  <c r="M22" i="38"/>
  <c r="N22" i="38" s="1"/>
  <c r="O22" i="38" s="1"/>
  <c r="J22" i="38"/>
  <c r="F22" i="38"/>
  <c r="G22" i="38" s="1"/>
  <c r="H22" i="38" s="1"/>
  <c r="BG21" i="38"/>
  <c r="BH21" i="38" s="1"/>
  <c r="BD21" i="38"/>
  <c r="BE21" i="38" s="1"/>
  <c r="BA21" i="38"/>
  <c r="BB21" i="38" s="1"/>
  <c r="AU21" i="38"/>
  <c r="AV21" i="38" s="1"/>
  <c r="AP21" i="38"/>
  <c r="AQ21" i="38" s="1"/>
  <c r="AJ21" i="38"/>
  <c r="AK21" i="38" s="1"/>
  <c r="AL21" i="38" s="1"/>
  <c r="AF21" i="38"/>
  <c r="AG21" i="38" s="1"/>
  <c r="AC21" i="38"/>
  <c r="AD21" i="38" s="1"/>
  <c r="Y21" i="38"/>
  <c r="Z21" i="38" s="1"/>
  <c r="AA21" i="38" s="1"/>
  <c r="T21" i="38"/>
  <c r="U21" i="38" s="1"/>
  <c r="V21" i="38" s="1"/>
  <c r="P21" i="38"/>
  <c r="M21" i="38"/>
  <c r="N21" i="38" s="1"/>
  <c r="O21" i="38" s="1"/>
  <c r="J21" i="38"/>
  <c r="F21" i="38"/>
  <c r="G21" i="38" s="1"/>
  <c r="H21" i="38" s="1"/>
  <c r="BG20" i="38"/>
  <c r="BH20" i="38" s="1"/>
  <c r="BD20" i="38"/>
  <c r="BE20" i="38" s="1"/>
  <c r="BA20" i="38"/>
  <c r="BB20" i="38" s="1"/>
  <c r="AU20" i="38"/>
  <c r="AV20" i="38" s="1"/>
  <c r="AP20" i="38"/>
  <c r="AQ20" i="38" s="1"/>
  <c r="AK20" i="38"/>
  <c r="AL20" i="38" s="1"/>
  <c r="AF20" i="38"/>
  <c r="AG20" i="38" s="1"/>
  <c r="AC20" i="38"/>
  <c r="AD20" i="38" s="1"/>
  <c r="Y20" i="38"/>
  <c r="Z20" i="38" s="1"/>
  <c r="AA20" i="38" s="1"/>
  <c r="T20" i="38"/>
  <c r="U20" i="38" s="1"/>
  <c r="V20" i="38" s="1"/>
  <c r="P20" i="38"/>
  <c r="N20" i="38"/>
  <c r="O20" i="38" s="1"/>
  <c r="J20" i="38"/>
  <c r="F20" i="38"/>
  <c r="G20" i="38" s="1"/>
  <c r="H20" i="38" s="1"/>
  <c r="BG19" i="38"/>
  <c r="BH19" i="38" s="1"/>
  <c r="BD19" i="38"/>
  <c r="BE19" i="38" s="1"/>
  <c r="BA19" i="38"/>
  <c r="BB19" i="38" s="1"/>
  <c r="AU19" i="38"/>
  <c r="AV19" i="38" s="1"/>
  <c r="AP19" i="38"/>
  <c r="AQ19" i="38" s="1"/>
  <c r="AJ19" i="38"/>
  <c r="AK19" i="38" s="1"/>
  <c r="AL19" i="38" s="1"/>
  <c r="AF19" i="38"/>
  <c r="AG19" i="38" s="1"/>
  <c r="AC19" i="38"/>
  <c r="AD19" i="38" s="1"/>
  <c r="Y19" i="38"/>
  <c r="Z19" i="38" s="1"/>
  <c r="AA19" i="38" s="1"/>
  <c r="T19" i="38"/>
  <c r="U19" i="38" s="1"/>
  <c r="V19" i="38" s="1"/>
  <c r="P19" i="38"/>
  <c r="M19" i="38"/>
  <c r="N19" i="38" s="1"/>
  <c r="O19" i="38" s="1"/>
  <c r="J19" i="38"/>
  <c r="F19" i="38"/>
  <c r="G19" i="38" s="1"/>
  <c r="H19" i="38" s="1"/>
  <c r="BG18" i="38"/>
  <c r="BH18" i="38" s="1"/>
  <c r="BD18" i="38"/>
  <c r="BE18" i="38" s="1"/>
  <c r="BA18" i="38"/>
  <c r="BB18" i="38" s="1"/>
  <c r="AU18" i="38"/>
  <c r="AV18" i="38" s="1"/>
  <c r="AP18" i="38"/>
  <c r="AQ18" i="38" s="1"/>
  <c r="AK18" i="38"/>
  <c r="AL18" i="38" s="1"/>
  <c r="AF18" i="38"/>
  <c r="AG18" i="38" s="1"/>
  <c r="AC18" i="38"/>
  <c r="AD18" i="38" s="1"/>
  <c r="Z18" i="38"/>
  <c r="AA18" i="38" s="1"/>
  <c r="U18" i="38"/>
  <c r="V18" i="38" s="1"/>
  <c r="P18" i="38"/>
  <c r="N18" i="38"/>
  <c r="O18" i="38" s="1"/>
  <c r="J18" i="38"/>
  <c r="G18" i="38"/>
  <c r="H18" i="38" s="1"/>
  <c r="BG17" i="38"/>
  <c r="BH17" i="38" s="1"/>
  <c r="BD17" i="38"/>
  <c r="BE17" i="38" s="1"/>
  <c r="BA17" i="38"/>
  <c r="BB17" i="38" s="1"/>
  <c r="AU17" i="38"/>
  <c r="AV17" i="38" s="1"/>
  <c r="AP17" i="38"/>
  <c r="AQ17" i="38" s="1"/>
  <c r="AJ17" i="38"/>
  <c r="AK17" i="38" s="1"/>
  <c r="AL17" i="38" s="1"/>
  <c r="AF17" i="38"/>
  <c r="AG17" i="38" s="1"/>
  <c r="AC17" i="38"/>
  <c r="AD17" i="38" s="1"/>
  <c r="Y17" i="38"/>
  <c r="Z17" i="38" s="1"/>
  <c r="AA17" i="38" s="1"/>
  <c r="T17" i="38"/>
  <c r="U17" i="38" s="1"/>
  <c r="V17" i="38" s="1"/>
  <c r="P17" i="38"/>
  <c r="M17" i="38"/>
  <c r="N17" i="38" s="1"/>
  <c r="O17" i="38" s="1"/>
  <c r="J17" i="38"/>
  <c r="F17" i="38"/>
  <c r="G17" i="38" s="1"/>
  <c r="H17" i="38" s="1"/>
  <c r="BG16" i="38"/>
  <c r="BH16" i="38" s="1"/>
  <c r="BD16" i="38"/>
  <c r="BE16" i="38" s="1"/>
  <c r="BA16" i="38"/>
  <c r="BB16" i="38" s="1"/>
  <c r="AU16" i="38"/>
  <c r="AV16" i="38" s="1"/>
  <c r="AO16" i="38"/>
  <c r="AP16" i="38" s="1"/>
  <c r="AQ16" i="38" s="1"/>
  <c r="AJ16" i="38"/>
  <c r="AK16" i="38" s="1"/>
  <c r="AL16" i="38" s="1"/>
  <c r="AF16" i="38"/>
  <c r="AG16" i="38" s="1"/>
  <c r="AC16" i="38"/>
  <c r="AD16" i="38" s="1"/>
  <c r="Y16" i="38"/>
  <c r="Z16" i="38" s="1"/>
  <c r="AA16" i="38" s="1"/>
  <c r="T16" i="38"/>
  <c r="U16" i="38" s="1"/>
  <c r="V16" i="38" s="1"/>
  <c r="P16" i="38"/>
  <c r="M16" i="38"/>
  <c r="N16" i="38" s="1"/>
  <c r="O16" i="38" s="1"/>
  <c r="J16" i="38"/>
  <c r="F16" i="38"/>
  <c r="G16" i="38" s="1"/>
  <c r="H16" i="38" s="1"/>
  <c r="BG15" i="38"/>
  <c r="BH15" i="38" s="1"/>
  <c r="BD15" i="38"/>
  <c r="BE15" i="38" s="1"/>
  <c r="BA15" i="38"/>
  <c r="BB15" i="38" s="1"/>
  <c r="AU15" i="38"/>
  <c r="AV15" i="38" s="1"/>
  <c r="AO15" i="38"/>
  <c r="AP15" i="38" s="1"/>
  <c r="AQ15" i="38" s="1"/>
  <c r="AJ15" i="38"/>
  <c r="AK15" i="38" s="1"/>
  <c r="AL15" i="38" s="1"/>
  <c r="AF15" i="38"/>
  <c r="AG15" i="38" s="1"/>
  <c r="AC15" i="38"/>
  <c r="AD15" i="38" s="1"/>
  <c r="Y15" i="38"/>
  <c r="Z15" i="38" s="1"/>
  <c r="AA15" i="38" s="1"/>
  <c r="T15" i="38"/>
  <c r="U15" i="38" s="1"/>
  <c r="V15" i="38" s="1"/>
  <c r="P15" i="38"/>
  <c r="M15" i="38"/>
  <c r="N15" i="38" s="1"/>
  <c r="O15" i="38" s="1"/>
  <c r="J15" i="38"/>
  <c r="F15" i="38"/>
  <c r="G15" i="38" s="1"/>
  <c r="H15" i="38" s="1"/>
  <c r="BG14" i="38"/>
  <c r="BH14" i="38" s="1"/>
  <c r="BD14" i="38"/>
  <c r="BE14" i="38" s="1"/>
  <c r="BA14" i="38"/>
  <c r="BB14" i="38" s="1"/>
  <c r="AU14" i="38"/>
  <c r="AV14" i="38" s="1"/>
  <c r="AO14" i="38"/>
  <c r="AP14" i="38" s="1"/>
  <c r="AQ14" i="38" s="1"/>
  <c r="AJ14" i="38"/>
  <c r="AK14" i="38" s="1"/>
  <c r="AL14" i="38" s="1"/>
  <c r="AF14" i="38"/>
  <c r="AG14" i="38" s="1"/>
  <c r="AC14" i="38"/>
  <c r="AD14" i="38" s="1"/>
  <c r="Y14" i="38"/>
  <c r="Z14" i="38" s="1"/>
  <c r="AA14" i="38" s="1"/>
  <c r="T14" i="38"/>
  <c r="U14" i="38" s="1"/>
  <c r="V14" i="38" s="1"/>
  <c r="P14" i="38"/>
  <c r="M14" i="38"/>
  <c r="N14" i="38" s="1"/>
  <c r="O14" i="38" s="1"/>
  <c r="J14" i="38"/>
  <c r="F14" i="38"/>
  <c r="G14" i="38" s="1"/>
  <c r="H14" i="38" s="1"/>
  <c r="BG13" i="38"/>
  <c r="BH13" i="38" s="1"/>
  <c r="BD13" i="38"/>
  <c r="BE13" i="38" s="1"/>
  <c r="BA13" i="38"/>
  <c r="BB13" i="38" s="1"/>
  <c r="AU13" i="38"/>
  <c r="AV13" i="38" s="1"/>
  <c r="AO13" i="38"/>
  <c r="AP13" i="38" s="1"/>
  <c r="AQ13" i="38" s="1"/>
  <c r="AJ13" i="38"/>
  <c r="AK13" i="38" s="1"/>
  <c r="AL13" i="38" s="1"/>
  <c r="AF13" i="38"/>
  <c r="AG13" i="38" s="1"/>
  <c r="AC13" i="38"/>
  <c r="AD13" i="38" s="1"/>
  <c r="Y13" i="38"/>
  <c r="Z13" i="38" s="1"/>
  <c r="AA13" i="38" s="1"/>
  <c r="T13" i="38"/>
  <c r="U13" i="38" s="1"/>
  <c r="V13" i="38" s="1"/>
  <c r="P13" i="38"/>
  <c r="M13" i="38"/>
  <c r="N13" i="38" s="1"/>
  <c r="O13" i="38" s="1"/>
  <c r="J13" i="38"/>
  <c r="F13" i="38"/>
  <c r="G13" i="38" s="1"/>
  <c r="H13" i="38" s="1"/>
  <c r="BG12" i="38"/>
  <c r="BH12" i="38" s="1"/>
  <c r="BE12" i="38"/>
  <c r="BA12" i="38"/>
  <c r="BB12" i="38" s="1"/>
  <c r="AU12" i="38"/>
  <c r="AV12" i="38" s="1"/>
  <c r="AO12" i="38"/>
  <c r="AP12" i="38" s="1"/>
  <c r="AQ12" i="38" s="1"/>
  <c r="AJ12" i="38"/>
  <c r="AK12" i="38" s="1"/>
  <c r="AL12" i="38" s="1"/>
  <c r="AF12" i="38"/>
  <c r="AG12" i="38" s="1"/>
  <c r="AC12" i="38"/>
  <c r="AD12" i="38" s="1"/>
  <c r="Y12" i="38"/>
  <c r="Z12" i="38" s="1"/>
  <c r="AA12" i="38" s="1"/>
  <c r="T12" i="38"/>
  <c r="U12" i="38" s="1"/>
  <c r="V12" i="38" s="1"/>
  <c r="M12" i="38"/>
  <c r="N12" i="38" s="1"/>
  <c r="O12" i="38" s="1"/>
  <c r="J12" i="38"/>
  <c r="F12" i="38"/>
  <c r="G12" i="38" s="1"/>
  <c r="H12" i="38" s="1"/>
  <c r="BG11" i="38"/>
  <c r="BH11" i="38" s="1"/>
  <c r="BD11" i="38"/>
  <c r="BE11" i="38" s="1"/>
  <c r="BA11" i="38"/>
  <c r="BB11" i="38" s="1"/>
  <c r="AU11" i="38"/>
  <c r="AV11" i="38" s="1"/>
  <c r="AP11" i="38"/>
  <c r="AQ11" i="38" s="1"/>
  <c r="AK11" i="38"/>
  <c r="AL11" i="38" s="1"/>
  <c r="AF11" i="38"/>
  <c r="AG11" i="38" s="1"/>
  <c r="AC11" i="38"/>
  <c r="AD11" i="38" s="1"/>
  <c r="Z11" i="38"/>
  <c r="AA11" i="38" s="1"/>
  <c r="U11" i="38"/>
  <c r="V11" i="38" s="1"/>
  <c r="P11" i="38"/>
  <c r="N11" i="38"/>
  <c r="O11" i="38" s="1"/>
  <c r="J11" i="38"/>
  <c r="F11" i="38"/>
  <c r="G11" i="38" s="1"/>
  <c r="H11" i="38" s="1"/>
  <c r="P10" i="38"/>
  <c r="P9" i="38"/>
  <c r="Q9" i="38" s="1"/>
  <c r="BK11" i="39" l="1"/>
  <c r="BI26" i="39"/>
  <c r="BK21" i="39"/>
  <c r="BK34" i="39"/>
  <c r="BK23" i="40"/>
  <c r="BK36" i="40"/>
  <c r="BK27" i="40"/>
  <c r="BK14" i="40"/>
  <c r="BK54" i="39"/>
  <c r="BK30" i="39"/>
  <c r="BK32" i="40"/>
  <c r="BK26" i="40"/>
  <c r="BK55" i="40"/>
  <c r="BK24" i="40"/>
  <c r="BK54" i="40"/>
  <c r="BK37" i="40"/>
  <c r="BK46" i="40"/>
  <c r="BK51" i="40"/>
  <c r="BK35" i="40"/>
  <c r="BK17" i="40"/>
  <c r="BK60" i="40"/>
  <c r="BK21" i="40"/>
  <c r="BK53" i="40"/>
  <c r="BK62" i="40"/>
  <c r="BK47" i="40"/>
  <c r="BK56" i="40"/>
  <c r="BK61" i="40"/>
  <c r="BK45" i="40"/>
  <c r="BK25" i="40"/>
  <c r="BK18" i="40"/>
  <c r="BK58" i="40"/>
  <c r="BK59" i="40"/>
  <c r="BK43" i="40"/>
  <c r="BK57" i="40"/>
  <c r="BK13" i="40"/>
  <c r="BK14" i="39"/>
  <c r="BK33" i="39"/>
  <c r="BK53" i="39"/>
  <c r="BK52" i="39"/>
  <c r="BK29" i="39"/>
  <c r="BK38" i="39"/>
  <c r="BJ38" i="38"/>
  <c r="BJ45" i="38"/>
  <c r="BJ47" i="38"/>
  <c r="BJ54" i="38"/>
  <c r="BJ18" i="38"/>
  <c r="G70" i="38"/>
  <c r="H70" i="38" s="1"/>
  <c r="BI70" i="38" s="1"/>
  <c r="BJ33" i="38"/>
  <c r="BI25" i="38"/>
  <c r="BJ70" i="38"/>
  <c r="BI32" i="38"/>
  <c r="BI17" i="38"/>
  <c r="BI15" i="38"/>
  <c r="BI42" i="38"/>
  <c r="BJ30" i="38"/>
  <c r="BK18" i="39"/>
  <c r="BI38" i="38"/>
  <c r="BI30" i="38"/>
  <c r="BI26" i="38"/>
  <c r="BI12" i="38"/>
  <c r="BI19" i="38"/>
  <c r="BI40" i="38"/>
  <c r="BI16" i="38"/>
  <c r="BI29" i="38"/>
  <c r="BI31" i="38"/>
  <c r="BI36" i="38"/>
  <c r="BI37" i="38"/>
  <c r="BI39" i="38"/>
  <c r="BI41" i="38"/>
  <c r="BI14" i="38"/>
  <c r="BI13" i="38"/>
  <c r="BI21" i="38"/>
  <c r="BI23" i="38"/>
  <c r="BI33" i="38"/>
  <c r="BI35" i="38"/>
  <c r="BI43" i="38"/>
  <c r="BI44" i="38"/>
  <c r="BI45" i="38"/>
  <c r="BI47" i="38"/>
  <c r="BI49" i="38"/>
  <c r="BI50" i="38"/>
  <c r="BI51" i="38"/>
  <c r="BI54" i="38"/>
  <c r="BI56" i="38"/>
  <c r="BI58" i="38"/>
  <c r="BI73" i="38"/>
  <c r="BI72" i="38"/>
  <c r="BI71" i="38"/>
  <c r="BI46" i="38"/>
  <c r="BI52" i="38"/>
  <c r="BI55" i="38"/>
  <c r="BI59" i="38"/>
  <c r="BI18" i="38"/>
  <c r="BI48" i="38"/>
  <c r="BK41" i="39"/>
  <c r="BK19" i="39"/>
  <c r="BI16" i="39"/>
  <c r="BK16" i="39" s="1"/>
  <c r="BK39" i="40"/>
  <c r="BK42" i="40"/>
  <c r="BK50" i="39"/>
  <c r="BK25" i="39"/>
  <c r="BK42" i="39"/>
  <c r="BK26" i="39"/>
  <c r="BK47" i="39"/>
  <c r="BK66" i="40"/>
  <c r="BK40" i="40"/>
  <c r="BK24" i="39"/>
  <c r="BK13" i="39"/>
  <c r="BK20" i="39"/>
  <c r="BK12" i="39"/>
  <c r="BK45" i="39"/>
  <c r="BK23" i="39"/>
  <c r="BK48" i="39"/>
  <c r="BK49" i="39"/>
  <c r="BK56" i="39"/>
  <c r="BK15" i="39"/>
  <c r="BK37" i="39"/>
  <c r="BK27" i="39"/>
  <c r="BK39" i="39"/>
  <c r="BK32" i="39"/>
  <c r="BK17" i="39"/>
  <c r="BK51" i="39"/>
  <c r="BJ72" i="38"/>
  <c r="BJ71" i="38"/>
  <c r="BJ35" i="38"/>
  <c r="BJ13" i="38"/>
  <c r="BJ51" i="38"/>
  <c r="BJ56" i="38"/>
  <c r="BJ36" i="38"/>
  <c r="BJ55" i="38"/>
  <c r="BJ32" i="38"/>
  <c r="BJ39" i="38"/>
  <c r="BJ40" i="38"/>
  <c r="BJ43" i="38"/>
  <c r="BJ46" i="38"/>
  <c r="BJ41" i="38"/>
  <c r="BJ58" i="38"/>
  <c r="BJ16" i="38"/>
  <c r="BJ14" i="38"/>
  <c r="BJ15" i="38"/>
  <c r="BJ17" i="38"/>
  <c r="BJ21" i="38"/>
  <c r="BJ12" i="38"/>
  <c r="BJ23" i="38"/>
  <c r="BJ25" i="38"/>
  <c r="BJ29" i="38"/>
  <c r="BJ19" i="38"/>
  <c r="BJ26" i="38"/>
  <c r="BJ37" i="38"/>
  <c r="BJ42" i="38"/>
  <c r="BJ31" i="38"/>
  <c r="BJ44" i="38"/>
  <c r="BJ48" i="38"/>
  <c r="BJ49" i="38"/>
  <c r="BJ50" i="38"/>
  <c r="BJ52" i="38"/>
  <c r="BJ73" i="38"/>
  <c r="BJ59" i="38"/>
  <c r="BD29" i="27"/>
  <c r="BE29" i="27" s="1"/>
  <c r="BD28" i="27"/>
  <c r="BE28" i="27" s="1"/>
  <c r="BD27" i="27"/>
  <c r="BE27" i="27" s="1"/>
  <c r="BD26" i="27"/>
  <c r="BE26" i="27" s="1"/>
  <c r="BD25" i="27"/>
  <c r="BE25" i="27" s="1"/>
  <c r="BD24" i="27"/>
  <c r="BE24" i="27" s="1"/>
  <c r="BD23" i="27"/>
  <c r="BE23" i="27" s="1"/>
  <c r="BD22" i="27"/>
  <c r="BE22" i="27" s="1"/>
  <c r="BE21" i="27"/>
  <c r="BD20" i="27"/>
  <c r="BE20" i="27" s="1"/>
  <c r="BD19" i="27"/>
  <c r="BE19" i="27" s="1"/>
  <c r="BD18" i="27"/>
  <c r="BE18" i="27" s="1"/>
  <c r="BD17" i="27"/>
  <c r="BE17" i="27" s="1"/>
  <c r="BD16" i="27"/>
  <c r="BE16" i="27" s="1"/>
  <c r="BD15" i="27"/>
  <c r="BE15" i="27" s="1"/>
  <c r="BD14" i="27"/>
  <c r="BE14" i="27" s="1"/>
  <c r="BD12" i="27"/>
  <c r="BE12" i="27" s="1"/>
  <c r="BD11" i="27"/>
  <c r="BE11" i="27" s="1"/>
  <c r="BG18" i="27"/>
  <c r="BH18" i="27" s="1"/>
  <c r="BG28" i="27"/>
  <c r="BH28" i="27" s="1"/>
  <c r="BG26" i="27"/>
  <c r="BH26" i="27" s="1"/>
  <c r="BG19" i="27"/>
  <c r="BH19" i="27" s="1"/>
  <c r="BG24" i="27"/>
  <c r="BH24" i="27" s="1"/>
  <c r="BG23" i="27"/>
  <c r="BH23" i="27" s="1"/>
  <c r="BG14" i="27"/>
  <c r="BH14" i="27" s="1"/>
  <c r="BG22" i="27"/>
  <c r="BH22" i="27" s="1"/>
  <c r="BG21" i="27"/>
  <c r="BH21" i="27" s="1"/>
  <c r="BG20" i="27"/>
  <c r="BH20" i="27" s="1"/>
  <c r="BG17" i="27"/>
  <c r="BH17" i="27" s="1"/>
  <c r="BG27" i="27"/>
  <c r="BH27" i="27" s="1"/>
  <c r="BG15" i="27"/>
  <c r="BH15" i="27" s="1"/>
  <c r="BH29" i="27"/>
  <c r="BG12" i="27"/>
  <c r="BH12" i="27" s="1"/>
  <c r="BH25" i="27"/>
  <c r="BH16" i="27"/>
  <c r="BH11" i="27"/>
  <c r="AK23" i="27"/>
  <c r="AL23" i="27" s="1"/>
  <c r="AK24" i="27"/>
  <c r="AL24" i="27" s="1"/>
  <c r="AK25" i="27"/>
  <c r="AL25" i="27" s="1"/>
  <c r="AK26" i="27"/>
  <c r="AL26" i="27" s="1"/>
  <c r="AK27" i="27"/>
  <c r="AL27" i="27" s="1"/>
  <c r="AK28" i="27"/>
  <c r="AL28" i="27" s="1"/>
  <c r="AK29" i="27"/>
  <c r="AL29" i="27" s="1"/>
  <c r="AJ12" i="27"/>
  <c r="AK12" i="27" s="1"/>
  <c r="AL12" i="27" s="1"/>
  <c r="AK14" i="27"/>
  <c r="AL14" i="27" s="1"/>
  <c r="AK15" i="27"/>
  <c r="AL15" i="27" s="1"/>
  <c r="AK16" i="27"/>
  <c r="AL16" i="27" s="1"/>
  <c r="AK17" i="27"/>
  <c r="AL17" i="27" s="1"/>
  <c r="AK18" i="27"/>
  <c r="AL18" i="27" s="1"/>
  <c r="AK19" i="27"/>
  <c r="AL19" i="27" s="1"/>
  <c r="AK20" i="27"/>
  <c r="AL20" i="27" s="1"/>
  <c r="AK21" i="27"/>
  <c r="AL21" i="27" s="1"/>
  <c r="AK22" i="27"/>
  <c r="AL22" i="27" s="1"/>
  <c r="AJ11" i="27"/>
  <c r="AK11" i="27" s="1"/>
  <c r="AL11" i="27" s="1"/>
  <c r="AP27" i="27"/>
  <c r="AQ27" i="27" s="1"/>
  <c r="AP28" i="27"/>
  <c r="AQ28" i="27" s="1"/>
  <c r="AP29" i="27"/>
  <c r="AQ29" i="27" s="1"/>
  <c r="AP17" i="27"/>
  <c r="AQ17" i="27" s="1"/>
  <c r="AP18" i="27"/>
  <c r="AQ18" i="27" s="1"/>
  <c r="AP19" i="27"/>
  <c r="AQ19" i="27" s="1"/>
  <c r="AP20" i="27"/>
  <c r="AQ20" i="27" s="1"/>
  <c r="AP21" i="27"/>
  <c r="AQ21" i="27" s="1"/>
  <c r="AP22" i="27"/>
  <c r="AQ22" i="27" s="1"/>
  <c r="AP23" i="27"/>
  <c r="AQ23" i="27" s="1"/>
  <c r="AP24" i="27"/>
  <c r="AQ24" i="27" s="1"/>
  <c r="AP25" i="27"/>
  <c r="AQ25" i="27" s="1"/>
  <c r="AP26" i="27"/>
  <c r="AQ26" i="27" s="1"/>
  <c r="AO12" i="27"/>
  <c r="AP12" i="27" s="1"/>
  <c r="AQ12" i="27" s="1"/>
  <c r="AP14" i="27"/>
  <c r="AQ14" i="27" s="1"/>
  <c r="AP15" i="27"/>
  <c r="AQ15" i="27" s="1"/>
  <c r="AP16" i="27"/>
  <c r="AQ16" i="27" s="1"/>
  <c r="AO11" i="27"/>
  <c r="AP11" i="27" s="1"/>
  <c r="AQ11" i="27" s="1"/>
  <c r="AU28" i="27"/>
  <c r="AV28" i="27" s="1"/>
  <c r="AU29" i="27"/>
  <c r="AV29" i="27" s="1"/>
  <c r="AU22" i="27"/>
  <c r="AV22" i="27" s="1"/>
  <c r="AU23" i="27"/>
  <c r="AV23" i="27" s="1"/>
  <c r="AU24" i="27"/>
  <c r="AV24" i="27" s="1"/>
  <c r="AU25" i="27"/>
  <c r="AV25" i="27" s="1"/>
  <c r="AU27" i="27"/>
  <c r="AV27" i="27" s="1"/>
  <c r="AU16" i="27"/>
  <c r="AV16" i="27" s="1"/>
  <c r="AU17" i="27"/>
  <c r="AV17" i="27" s="1"/>
  <c r="AU18" i="27"/>
  <c r="AV18" i="27" s="1"/>
  <c r="AU19" i="27"/>
  <c r="AV19" i="27" s="1"/>
  <c r="AU20" i="27"/>
  <c r="AV20" i="27" s="1"/>
  <c r="AU21" i="27"/>
  <c r="AV21" i="27" s="1"/>
  <c r="AT12" i="27"/>
  <c r="AU12" i="27" s="1"/>
  <c r="AV12" i="27" s="1"/>
  <c r="AT14" i="27"/>
  <c r="AU14" i="27" s="1"/>
  <c r="AV14" i="27" s="1"/>
  <c r="AV15" i="27"/>
  <c r="AT11" i="27"/>
  <c r="AU11" i="27" s="1"/>
  <c r="AV11" i="27" s="1"/>
  <c r="BA27" i="27"/>
  <c r="BB27" i="27" s="1"/>
  <c r="BA28" i="27"/>
  <c r="BB28" i="27" s="1"/>
  <c r="BA29" i="27"/>
  <c r="BB29" i="27" s="1"/>
  <c r="AZ14" i="27"/>
  <c r="BA14" i="27" s="1"/>
  <c r="BB14" i="27" s="1"/>
  <c r="BA15" i="27"/>
  <c r="BB15" i="27" s="1"/>
  <c r="BA16" i="27"/>
  <c r="BB16" i="27" s="1"/>
  <c r="BA17" i="27"/>
  <c r="BB17" i="27" s="1"/>
  <c r="BA18" i="27"/>
  <c r="BB18" i="27" s="1"/>
  <c r="BA19" i="27"/>
  <c r="BB19" i="27" s="1"/>
  <c r="BA20" i="27"/>
  <c r="BB20" i="27" s="1"/>
  <c r="BA21" i="27"/>
  <c r="BB21" i="27" s="1"/>
  <c r="BA22" i="27"/>
  <c r="BB22" i="27" s="1"/>
  <c r="BA23" i="27"/>
  <c r="BB23" i="27" s="1"/>
  <c r="BA24" i="27"/>
  <c r="BB24" i="27" s="1"/>
  <c r="BA25" i="27"/>
  <c r="BB25" i="27" s="1"/>
  <c r="BA26" i="27"/>
  <c r="BB26" i="27" s="1"/>
  <c r="AZ12" i="27"/>
  <c r="BA12" i="27" s="1"/>
  <c r="BB12" i="27" s="1"/>
  <c r="AZ11" i="27"/>
  <c r="BA11" i="27" s="1"/>
  <c r="BB11" i="27" s="1"/>
  <c r="AG29" i="27"/>
  <c r="AG20" i="27"/>
  <c r="AG21" i="27"/>
  <c r="AG22" i="27"/>
  <c r="AG23" i="27"/>
  <c r="AG24" i="27"/>
  <c r="AG25" i="27"/>
  <c r="AG26" i="27"/>
  <c r="AG27" i="27"/>
  <c r="AG28" i="27"/>
  <c r="AG12" i="27"/>
  <c r="AG14" i="27"/>
  <c r="AG15" i="27"/>
  <c r="AG16" i="27"/>
  <c r="AG17" i="27"/>
  <c r="AG18" i="27"/>
  <c r="AG19" i="27"/>
  <c r="AG11" i="27"/>
  <c r="AC27" i="27"/>
  <c r="AD27" i="27" s="1"/>
  <c r="AC28" i="27"/>
  <c r="AD28" i="27" s="1"/>
  <c r="AC29" i="27"/>
  <c r="AD29" i="27" s="1"/>
  <c r="AC22" i="27"/>
  <c r="AD22" i="27" s="1"/>
  <c r="AC23" i="27"/>
  <c r="AD23" i="27" s="1"/>
  <c r="AC24" i="27"/>
  <c r="AD24" i="27" s="1"/>
  <c r="AC25" i="27"/>
  <c r="AD25" i="27" s="1"/>
  <c r="AC26" i="27"/>
  <c r="AD26" i="27" s="1"/>
  <c r="AC19" i="27"/>
  <c r="AD19" i="27" s="1"/>
  <c r="AC20" i="27"/>
  <c r="AD20" i="27" s="1"/>
  <c r="AC21" i="27"/>
  <c r="AD21" i="27" s="1"/>
  <c r="AC12" i="27"/>
  <c r="AD12" i="27" s="1"/>
  <c r="AC14" i="27"/>
  <c r="AD14" i="27" s="1"/>
  <c r="AC15" i="27"/>
  <c r="AD15" i="27" s="1"/>
  <c r="AC16" i="27"/>
  <c r="AD16" i="27" s="1"/>
  <c r="AC17" i="27"/>
  <c r="AD17" i="27" s="1"/>
  <c r="AC18" i="27"/>
  <c r="AD18" i="27" s="1"/>
  <c r="AC11" i="27"/>
  <c r="AD11" i="27" s="1"/>
  <c r="Z22" i="27"/>
  <c r="AA22" i="27" s="1"/>
  <c r="Z23" i="27"/>
  <c r="AA23" i="27" s="1"/>
  <c r="Z24" i="27"/>
  <c r="AA24" i="27" s="1"/>
  <c r="Z25" i="27"/>
  <c r="AA25" i="27" s="1"/>
  <c r="Z26" i="27"/>
  <c r="AA26" i="27" s="1"/>
  <c r="Z27" i="27"/>
  <c r="AA27" i="27" s="1"/>
  <c r="Z28" i="27"/>
  <c r="AA28" i="27" s="1"/>
  <c r="Y29" i="27"/>
  <c r="Z29" i="27" s="1"/>
  <c r="AA29" i="27" s="1"/>
  <c r="Y12" i="27"/>
  <c r="Z12" i="27" s="1"/>
  <c r="AA12" i="27" s="1"/>
  <c r="Y14" i="27"/>
  <c r="Z14" i="27" s="1"/>
  <c r="AA14" i="27" s="1"/>
  <c r="Z15" i="27"/>
  <c r="AA15" i="27" s="1"/>
  <c r="Z16" i="27"/>
  <c r="AA16" i="27" s="1"/>
  <c r="Z17" i="27"/>
  <c r="AA17" i="27" s="1"/>
  <c r="Z18" i="27"/>
  <c r="AA18" i="27" s="1"/>
  <c r="Z19" i="27"/>
  <c r="AA19" i="27" s="1"/>
  <c r="Z20" i="27"/>
  <c r="AA20" i="27" s="1"/>
  <c r="Z21" i="27"/>
  <c r="AA21" i="27" s="1"/>
  <c r="Y11" i="27"/>
  <c r="Z11" i="27" s="1"/>
  <c r="AA11" i="27" s="1"/>
  <c r="U27" i="27"/>
  <c r="V27" i="27" s="1"/>
  <c r="U28" i="27"/>
  <c r="V28" i="27" s="1"/>
  <c r="U29" i="27"/>
  <c r="V29" i="27" s="1"/>
  <c r="U19" i="27"/>
  <c r="V19" i="27" s="1"/>
  <c r="U20" i="27"/>
  <c r="V20" i="27" s="1"/>
  <c r="U21" i="27"/>
  <c r="V21" i="27" s="1"/>
  <c r="U22" i="27"/>
  <c r="V22" i="27" s="1"/>
  <c r="U23" i="27"/>
  <c r="V23" i="27" s="1"/>
  <c r="U24" i="27"/>
  <c r="V24" i="27" s="1"/>
  <c r="U25" i="27"/>
  <c r="V25" i="27" s="1"/>
  <c r="U26" i="27"/>
  <c r="V26" i="27" s="1"/>
  <c r="T12" i="27"/>
  <c r="U12" i="27" s="1"/>
  <c r="V12" i="27" s="1"/>
  <c r="T14" i="27"/>
  <c r="U14" i="27" s="1"/>
  <c r="V14" i="27" s="1"/>
  <c r="T15" i="27"/>
  <c r="U15" i="27" s="1"/>
  <c r="V15" i="27" s="1"/>
  <c r="U16" i="27"/>
  <c r="V16" i="27" s="1"/>
  <c r="U17" i="27"/>
  <c r="V17" i="27" s="1"/>
  <c r="U18" i="27"/>
  <c r="V18" i="27" s="1"/>
  <c r="T11" i="27"/>
  <c r="U11" i="27" s="1"/>
  <c r="V11" i="27" s="1"/>
  <c r="N27" i="27"/>
  <c r="O27" i="27" s="1"/>
  <c r="N28" i="27"/>
  <c r="O28" i="27" s="1"/>
  <c r="N29" i="27"/>
  <c r="O29" i="27" s="1"/>
  <c r="N16" i="27"/>
  <c r="O16" i="27" s="1"/>
  <c r="N17" i="27"/>
  <c r="O17" i="27" s="1"/>
  <c r="N18" i="27"/>
  <c r="O18" i="27" s="1"/>
  <c r="N19" i="27"/>
  <c r="O19" i="27" s="1"/>
  <c r="N20" i="27"/>
  <c r="O20" i="27" s="1"/>
  <c r="N21" i="27"/>
  <c r="O21" i="27" s="1"/>
  <c r="N22" i="27"/>
  <c r="O22" i="27" s="1"/>
  <c r="N23" i="27"/>
  <c r="O23" i="27" s="1"/>
  <c r="N24" i="27"/>
  <c r="O24" i="27" s="1"/>
  <c r="N25" i="27"/>
  <c r="O25" i="27" s="1"/>
  <c r="N26" i="27"/>
  <c r="O26" i="27" s="1"/>
  <c r="M12" i="27"/>
  <c r="N12" i="27" s="1"/>
  <c r="O12" i="27" s="1"/>
  <c r="M14" i="27"/>
  <c r="N14" i="27" s="1"/>
  <c r="O14" i="27" s="1"/>
  <c r="M15" i="27"/>
  <c r="N15" i="27" s="1"/>
  <c r="O15" i="27" s="1"/>
  <c r="M11" i="27"/>
  <c r="N11" i="27" s="1"/>
  <c r="O11" i="27" s="1"/>
  <c r="P9" i="27"/>
  <c r="Q9" i="27" s="1"/>
  <c r="P10" i="27"/>
  <c r="F11" i="27"/>
  <c r="G11" i="27" s="1"/>
  <c r="H11" i="27" s="1"/>
  <c r="J11" i="27"/>
  <c r="P11" i="27"/>
  <c r="F12" i="27"/>
  <c r="G12" i="27" s="1"/>
  <c r="H12" i="27" s="1"/>
  <c r="J12" i="27"/>
  <c r="P12" i="27"/>
  <c r="J13" i="27"/>
  <c r="F14" i="27"/>
  <c r="G14" i="27" s="1"/>
  <c r="H14" i="27" s="1"/>
  <c r="J14" i="27"/>
  <c r="P14" i="27"/>
  <c r="F15" i="27"/>
  <c r="G15" i="27" s="1"/>
  <c r="H15" i="27" s="1"/>
  <c r="J15" i="27"/>
  <c r="P15" i="27"/>
  <c r="F16" i="27"/>
  <c r="G16" i="27" s="1"/>
  <c r="H16" i="27" s="1"/>
  <c r="J16" i="27"/>
  <c r="P16" i="27"/>
  <c r="F27" i="27"/>
  <c r="G27" i="27" s="1"/>
  <c r="H27" i="27" s="1"/>
  <c r="F28" i="27"/>
  <c r="G28" i="27" s="1"/>
  <c r="H28" i="27" s="1"/>
  <c r="F29" i="27"/>
  <c r="G29" i="27" s="1"/>
  <c r="H29" i="27" s="1"/>
  <c r="G18" i="27"/>
  <c r="H18" i="27" s="1"/>
  <c r="F19" i="27"/>
  <c r="G19" i="27" s="1"/>
  <c r="H19" i="27" s="1"/>
  <c r="F20" i="27"/>
  <c r="G20" i="27" s="1"/>
  <c r="H20" i="27" s="1"/>
  <c r="F21" i="27"/>
  <c r="G21" i="27" s="1"/>
  <c r="H21" i="27" s="1"/>
  <c r="F22" i="27"/>
  <c r="G22" i="27" s="1"/>
  <c r="H22" i="27" s="1"/>
  <c r="F23" i="27"/>
  <c r="G23" i="27" s="1"/>
  <c r="H23" i="27" s="1"/>
  <c r="F24" i="27"/>
  <c r="G24" i="27" s="1"/>
  <c r="H24" i="27" s="1"/>
  <c r="F26" i="27"/>
  <c r="G26" i="27" s="1"/>
  <c r="H26" i="27" s="1"/>
  <c r="F17" i="27"/>
  <c r="G17" i="27" s="1"/>
  <c r="H17" i="27" s="1"/>
  <c r="J27" i="27"/>
  <c r="J28" i="27"/>
  <c r="J29" i="27"/>
  <c r="J26" i="27"/>
  <c r="J17" i="27"/>
  <c r="J18" i="27"/>
  <c r="J19" i="27"/>
  <c r="J20" i="27"/>
  <c r="J21" i="27"/>
  <c r="J22" i="27"/>
  <c r="J23" i="27"/>
  <c r="J24" i="27"/>
  <c r="J25" i="27"/>
  <c r="P18" i="27"/>
  <c r="P24" i="27"/>
  <c r="P29" i="27"/>
  <c r="P17" i="27"/>
  <c r="P19" i="27"/>
  <c r="P20" i="27"/>
  <c r="P21" i="27"/>
  <c r="P22" i="27"/>
  <c r="P23" i="27"/>
  <c r="P25" i="27"/>
  <c r="P26" i="27"/>
  <c r="P27" i="27"/>
  <c r="P28" i="27"/>
  <c r="BK54" i="38" l="1"/>
  <c r="BK45" i="38"/>
  <c r="BK33" i="38"/>
  <c r="BK38" i="38"/>
  <c r="BK47" i="38"/>
  <c r="BK18" i="38"/>
  <c r="BK70" i="38"/>
  <c r="BJ18" i="27"/>
  <c r="BJ16" i="27"/>
  <c r="BJ25" i="27"/>
  <c r="BJ17" i="27"/>
  <c r="BI19" i="27"/>
  <c r="BI18" i="27"/>
  <c r="BI26" i="27"/>
  <c r="BI22" i="27"/>
  <c r="BI15" i="27"/>
  <c r="BI27" i="27"/>
  <c r="BI29" i="27"/>
  <c r="BI17" i="27"/>
  <c r="BI21" i="27"/>
  <c r="BI23" i="27"/>
  <c r="BI16" i="27"/>
  <c r="BI28" i="27"/>
  <c r="BI24" i="27"/>
  <c r="BI20" i="27"/>
  <c r="BK46" i="38"/>
  <c r="BJ11" i="27"/>
  <c r="BK71" i="38"/>
  <c r="BI11" i="27"/>
  <c r="BJ26" i="27"/>
  <c r="BI12" i="27"/>
  <c r="BJ12" i="27"/>
  <c r="BI14" i="27"/>
  <c r="BJ21" i="27"/>
  <c r="BJ23" i="27"/>
  <c r="BJ15" i="27"/>
  <c r="BK15" i="27" s="1"/>
  <c r="BJ28" i="27"/>
  <c r="BJ22" i="27"/>
  <c r="BK22" i="27" s="1"/>
  <c r="BJ20" i="27"/>
  <c r="H25" i="27"/>
  <c r="BI25" i="27" s="1"/>
  <c r="BJ19" i="27"/>
  <c r="BJ14" i="27"/>
  <c r="BJ29" i="27"/>
  <c r="BJ24" i="27"/>
  <c r="BK32" i="38"/>
  <c r="BK48" i="38"/>
  <c r="BK56" i="38"/>
  <c r="BK36" i="38"/>
  <c r="BK40" i="38"/>
  <c r="BK55" i="38"/>
  <c r="BK52" i="38"/>
  <c r="BK31" i="38"/>
  <c r="BK35" i="38"/>
  <c r="BK51" i="38"/>
  <c r="BK49" i="38"/>
  <c r="BK26" i="38"/>
  <c r="BK50" i="38"/>
  <c r="BK43" i="38"/>
  <c r="BK44" i="38"/>
  <c r="BK23" i="38"/>
  <c r="BK59" i="38"/>
  <c r="BK37" i="38"/>
  <c r="BK14" i="38"/>
  <c r="BK17" i="38"/>
  <c r="BK73" i="38"/>
  <c r="BK42" i="38"/>
  <c r="BK12" i="38"/>
  <c r="BK19" i="27" l="1"/>
  <c r="BK17" i="27"/>
  <c r="BK11" i="27"/>
  <c r="BK25" i="27"/>
  <c r="BK20" i="27"/>
  <c r="BK29" i="27"/>
  <c r="BK28" i="27"/>
  <c r="BK24" i="27"/>
  <c r="BK23" i="27"/>
  <c r="BK16" i="27"/>
  <c r="BK14" i="27"/>
  <c r="BH22" i="39"/>
  <c r="BJ22" i="39" s="1"/>
  <c r="BK22" i="39" s="1"/>
</calcChain>
</file>

<file path=xl/sharedStrings.xml><?xml version="1.0" encoding="utf-8"?>
<sst xmlns="http://schemas.openxmlformats.org/spreadsheetml/2006/main" count="1824" uniqueCount="522">
  <si>
    <t>REPORT OF COLLEGIATE GRADES AND CREDITS EARNED</t>
  </si>
  <si>
    <t>TOTAL ENROLMENT</t>
  </si>
  <si>
    <t>No. of Students:</t>
  </si>
  <si>
    <t>a.  Failed</t>
  </si>
  <si>
    <t>b.  w/INC</t>
  </si>
  <si>
    <t>c.  Conditional</t>
  </si>
  <si>
    <t>d.  Dropped</t>
  </si>
  <si>
    <t>e.  Passed</t>
  </si>
  <si>
    <t>No.</t>
  </si>
  <si>
    <t>Student I. D. No.</t>
  </si>
  <si>
    <t>MID-TERM</t>
  </si>
  <si>
    <t>FINAL</t>
  </si>
  <si>
    <t xml:space="preserve">R A T I N G </t>
  </si>
  <si>
    <t>Credit/ Hrs.</t>
  </si>
  <si>
    <t>REMO-VAL</t>
  </si>
  <si>
    <t>TENTA-TIVE</t>
  </si>
  <si>
    <t>REMARKS</t>
  </si>
  <si>
    <t>Name of Students</t>
  </si>
  <si>
    <t>Noted:</t>
  </si>
  <si>
    <t>Course Code</t>
  </si>
  <si>
    <t>Course Title</t>
  </si>
  <si>
    <t>Semester/SY</t>
  </si>
  <si>
    <t>Program</t>
  </si>
  <si>
    <t>Name of Faculty</t>
  </si>
  <si>
    <t>ID Number</t>
  </si>
  <si>
    <t>Q1</t>
  </si>
  <si>
    <t>Q2</t>
  </si>
  <si>
    <t>AVE</t>
  </si>
  <si>
    <t>RS</t>
  </si>
  <si>
    <t>EQ</t>
  </si>
  <si>
    <t>Performance (40%)</t>
  </si>
  <si>
    <t>Midterm Exam (30%)</t>
  </si>
  <si>
    <t>Final Exam (30%)</t>
  </si>
  <si>
    <t>P1</t>
  </si>
  <si>
    <t>P2</t>
  </si>
  <si>
    <t>MALE</t>
  </si>
  <si>
    <t xml:space="preserve">         </t>
  </si>
  <si>
    <t xml:space="preserve">     </t>
  </si>
  <si>
    <t xml:space="preserve">           Virac, Catanduanes</t>
  </si>
  <si>
    <t xml:space="preserve">           Republic of the Philippines</t>
  </si>
  <si>
    <t>No of Unit</t>
  </si>
  <si>
    <t>Time/Days</t>
  </si>
  <si>
    <t>Room</t>
  </si>
  <si>
    <t xml:space="preserve">Course Code            </t>
  </si>
  <si>
    <t xml:space="preserve">Course Title             </t>
  </si>
  <si>
    <t xml:space="preserve">Schedule:   Time      </t>
  </si>
  <si>
    <t xml:space="preserve">                   Days    </t>
  </si>
  <si>
    <t>Curricular Program</t>
  </si>
  <si>
    <t xml:space="preserve">           CATANDUANES STATE UNIVERSITY</t>
  </si>
  <si>
    <t>FEMALE</t>
  </si>
  <si>
    <r>
      <t xml:space="preserve">    </t>
    </r>
    <r>
      <rPr>
        <i/>
        <sz val="11"/>
        <color theme="1"/>
        <rFont val="Calibri"/>
        <family val="2"/>
        <scheme val="minor"/>
      </rPr>
      <t xml:space="preserve"> Instructor 1</t>
    </r>
  </si>
  <si>
    <r>
      <t xml:space="preserve">NAME OF STUDENTS                                                 </t>
    </r>
    <r>
      <rPr>
        <i/>
        <sz val="10"/>
        <color theme="1"/>
        <rFont val="Arial"/>
        <family val="2"/>
      </rPr>
      <t xml:space="preserve"> (Last Name, Given Name, MI)</t>
    </r>
  </si>
  <si>
    <t>Department Chairperson</t>
  </si>
  <si>
    <t>College of Science</t>
  </si>
  <si>
    <t>Total Hrs. Attended</t>
  </si>
  <si>
    <t>***NOTHING FOLLOWS***</t>
  </si>
  <si>
    <r>
      <rPr>
        <u/>
        <sz val="12"/>
        <color theme="1"/>
        <rFont val="Arial"/>
        <family val="2"/>
      </rPr>
      <t>1st</t>
    </r>
    <r>
      <rPr>
        <sz val="12"/>
        <color theme="1"/>
        <rFont val="Arial"/>
        <family val="2"/>
      </rPr>
      <t xml:space="preserve"> Semester, SY </t>
    </r>
    <r>
      <rPr>
        <u/>
        <sz val="12"/>
        <color theme="1"/>
        <rFont val="Arial"/>
        <family val="2"/>
      </rPr>
      <t>2024-2025</t>
    </r>
  </si>
  <si>
    <r>
      <t xml:space="preserve">From </t>
    </r>
    <r>
      <rPr>
        <u/>
        <sz val="12"/>
        <color theme="1"/>
        <rFont val="Arial"/>
        <family val="2"/>
      </rPr>
      <t>August, 2024</t>
    </r>
    <r>
      <rPr>
        <sz val="12"/>
        <color theme="1"/>
        <rFont val="Arial"/>
        <family val="2"/>
      </rPr>
      <t xml:space="preserve"> to </t>
    </r>
    <r>
      <rPr>
        <u/>
        <sz val="12"/>
        <color theme="1"/>
        <rFont val="Arial"/>
        <family val="2"/>
      </rPr>
      <t>December, 2024</t>
    </r>
  </si>
  <si>
    <t>2022-62494</t>
  </si>
  <si>
    <t>Sumulat, Josebeth G.</t>
  </si>
  <si>
    <t>Submiited by:</t>
  </si>
  <si>
    <t>JEIHLA MARIE VALEZA</t>
  </si>
  <si>
    <t>Quizzes (15%)</t>
  </si>
  <si>
    <t>: GEC E1</t>
  </si>
  <si>
    <t>: Environmental Science</t>
  </si>
  <si>
    <t>: JEIHLA MARIE VALEZA</t>
  </si>
  <si>
    <t>: 3</t>
  </si>
  <si>
    <t>Preparations (15%)</t>
  </si>
  <si>
    <t>Activities</t>
  </si>
  <si>
    <t>Oral Recitation</t>
  </si>
  <si>
    <t>Total</t>
  </si>
  <si>
    <t>ATT</t>
  </si>
  <si>
    <t>: MTH/2:30-4:00</t>
  </si>
  <si>
    <t>Preparations  (15%)</t>
  </si>
  <si>
    <t>Project</t>
  </si>
  <si>
    <t>Performances (40%)</t>
  </si>
  <si>
    <t>Q3</t>
  </si>
  <si>
    <t>Q4</t>
  </si>
  <si>
    <t>P3</t>
  </si>
  <si>
    <t>P4</t>
  </si>
  <si>
    <t xml:space="preserve">: TF                                  </t>
  </si>
  <si>
    <t xml:space="preserve">: 1:00 - 2:30 PM                                      </t>
  </si>
  <si>
    <t xml:space="preserve">: BS Computer Engineering 4A                            </t>
  </si>
  <si>
    <t xml:space="preserve">: MTh                                   </t>
  </si>
  <si>
    <t xml:space="preserve">: GEC E1                                           </t>
  </si>
  <si>
    <t xml:space="preserve">: GEC E1                                                </t>
  </si>
  <si>
    <t xml:space="preserve">: 2:30 - 4:00 PM                                     </t>
  </si>
  <si>
    <t xml:space="preserve">: MTh                                 </t>
  </si>
  <si>
    <t>MG</t>
  </si>
  <si>
    <t>TG</t>
  </si>
  <si>
    <t>FG</t>
  </si>
  <si>
    <t>PASSED</t>
  </si>
  <si>
    <t>INC</t>
  </si>
  <si>
    <t>-</t>
  </si>
  <si>
    <t>INCOMPLETE</t>
  </si>
  <si>
    <t>DRP</t>
  </si>
  <si>
    <t xml:space="preserve"> </t>
  </si>
  <si>
    <t>LACK OF REQUIREMENTS</t>
  </si>
  <si>
    <t xml:space="preserve">   CatSU-F-OARS-06                                                                              Rev. 1                                                     Effectivity :  November 13, 2024</t>
  </si>
  <si>
    <t xml:space="preserve">2023-71313 </t>
  </si>
  <si>
    <t>ABAD, Mark Angelo N.</t>
  </si>
  <si>
    <t xml:space="preserve">2024-74526 </t>
  </si>
  <si>
    <t>AGUILAR, Jamal Zalee N.</t>
  </si>
  <si>
    <t>2025-852067</t>
  </si>
  <si>
    <t>AROGANTE, Edgieo A.</t>
  </si>
  <si>
    <t xml:space="preserve">2025-961485 </t>
  </si>
  <si>
    <t>ASUNCION, Mark Kenneth</t>
  </si>
  <si>
    <t xml:space="preserve">2025-278603 </t>
  </si>
  <si>
    <t>BALLENA, Ranz Cairus</t>
  </si>
  <si>
    <t xml:space="preserve">2021-02881 </t>
  </si>
  <si>
    <t>BARBA, Jhon Villamor</t>
  </si>
  <si>
    <t>2025-564912</t>
  </si>
  <si>
    <t>BARTOLOME, John Lord</t>
  </si>
  <si>
    <t xml:space="preserve">2025-569318 </t>
  </si>
  <si>
    <t>BAUTISTA, Gian Mark</t>
  </si>
  <si>
    <t xml:space="preserve">2025-617209 </t>
  </si>
  <si>
    <t>BEO, Jhonbert</t>
  </si>
  <si>
    <t xml:space="preserve">2025-684519 </t>
  </si>
  <si>
    <t>BEO, Rey</t>
  </si>
  <si>
    <t xml:space="preserve">2023-80179 </t>
  </si>
  <si>
    <t>BERAQUIT, Mark Anthony</t>
  </si>
  <si>
    <t xml:space="preserve">2025-107682 </t>
  </si>
  <si>
    <t>BERNAL, Rammel</t>
  </si>
  <si>
    <t xml:space="preserve">2022-62184 </t>
  </si>
  <si>
    <t>BOMBALES, Dexter</t>
  </si>
  <si>
    <t xml:space="preserve">2025-950732 </t>
  </si>
  <si>
    <t>BONAGUA, Christian Carl</t>
  </si>
  <si>
    <t xml:space="preserve">2025-142093 </t>
  </si>
  <si>
    <t>BONAOBRA, Dashiel Dave</t>
  </si>
  <si>
    <t xml:space="preserve">2025-491265 </t>
  </si>
  <si>
    <t>BORAL, Jhon Lloyd</t>
  </si>
  <si>
    <t xml:space="preserve">2025-426098 </t>
  </si>
  <si>
    <t>BUENDIA, Denver</t>
  </si>
  <si>
    <t xml:space="preserve">2023-71912 </t>
  </si>
  <si>
    <t>CAJUDAY, Lanz</t>
  </si>
  <si>
    <t xml:space="preserve">2025-361079 </t>
  </si>
  <si>
    <t>DE GUZMAN, Jayson</t>
  </si>
  <si>
    <t xml:space="preserve">2025-076281 </t>
  </si>
  <si>
    <t>DE LA CRUZ, Rico John</t>
  </si>
  <si>
    <t xml:space="preserve">2025-520768 </t>
  </si>
  <si>
    <t>DELA CRUZ, Jake Adrian</t>
  </si>
  <si>
    <t xml:space="preserve">2025-032795 </t>
  </si>
  <si>
    <t>FAUSTINO, Renato</t>
  </si>
  <si>
    <t xml:space="preserve">2025-946018 </t>
  </si>
  <si>
    <t>FERNANDEZ, Joshua</t>
  </si>
  <si>
    <t xml:space="preserve">2025-863514 </t>
  </si>
  <si>
    <t>FERNANDEZ, Matthew Evan</t>
  </si>
  <si>
    <t xml:space="preserve">2023-80389 </t>
  </si>
  <si>
    <t>GALICIA, Reymart</t>
  </si>
  <si>
    <t xml:space="preserve">2024-70680 </t>
  </si>
  <si>
    <t>GAVIOLA, Phil John</t>
  </si>
  <si>
    <t xml:space="preserve">2025-389207 </t>
  </si>
  <si>
    <t>MADREDIO, Anthony</t>
  </si>
  <si>
    <t xml:space="preserve">2025-085794 </t>
  </si>
  <si>
    <t>MAGTANGOB, Xavier James</t>
  </si>
  <si>
    <t xml:space="preserve">2025-470392 </t>
  </si>
  <si>
    <t>MATEO, Bon Enri</t>
  </si>
  <si>
    <t xml:space="preserve">2025-815037 </t>
  </si>
  <si>
    <t>MATIENZO, Kenn Joemel</t>
  </si>
  <si>
    <t xml:space="preserve">2025-175283 </t>
  </si>
  <si>
    <t>OBING, Joshua D.</t>
  </si>
  <si>
    <t xml:space="preserve">2025-658974 </t>
  </si>
  <si>
    <t>OLATAN, Marjon O.</t>
  </si>
  <si>
    <t xml:space="preserve">2025-106249 </t>
  </si>
  <si>
    <t>OLFINDO, Lanz Andrie T.</t>
  </si>
  <si>
    <t xml:space="preserve">2025-259437 </t>
  </si>
  <si>
    <t xml:space="preserve">PALAGIO, John Michael D. </t>
  </si>
  <si>
    <t xml:space="preserve">2025-082795 </t>
  </si>
  <si>
    <t>ROJAS, Robert Andrew B</t>
  </si>
  <si>
    <t xml:space="preserve">2025-386745 </t>
  </si>
  <si>
    <t>SANTELICES, Allen Ron R.</t>
  </si>
  <si>
    <t xml:space="preserve">2025-496750 </t>
  </si>
  <si>
    <t>TABIRAO, Jave Rasty B.</t>
  </si>
  <si>
    <t xml:space="preserve">2025-194708 </t>
  </si>
  <si>
    <t>TEJADA, Patrick N.</t>
  </si>
  <si>
    <t>2025-694158</t>
  </si>
  <si>
    <t>TIMBAL, Kyle T.</t>
  </si>
  <si>
    <t>2025-268503</t>
  </si>
  <si>
    <t xml:space="preserve">TIVAR, Leo G. </t>
  </si>
  <si>
    <t>2025-214983</t>
  </si>
  <si>
    <t>TIBATIB, Joecel T.</t>
  </si>
  <si>
    <t>2025-239486</t>
  </si>
  <si>
    <t>TORRES, Jeremiah Arman T.</t>
  </si>
  <si>
    <t>2025-648309</t>
  </si>
  <si>
    <t>TUD, Jhon Eric P.</t>
  </si>
  <si>
    <t>2025-864309</t>
  </si>
  <si>
    <t>TUMANLAO, John Lester V.</t>
  </si>
  <si>
    <t>2025-584291</t>
  </si>
  <si>
    <t>TUMAZAR, Jay C.</t>
  </si>
  <si>
    <t>2024-72439</t>
  </si>
  <si>
    <t>TUYOR, James Steven S.</t>
  </si>
  <si>
    <t>2025-124639</t>
  </si>
  <si>
    <t>VILLENA, Eupol Hezron P.</t>
  </si>
  <si>
    <t>2021-02401</t>
  </si>
  <si>
    <t>VITALICIO, Carlfred Hendrix P.</t>
  </si>
  <si>
    <t>2025-046395</t>
  </si>
  <si>
    <t>YUTAN, Kurt Francis Y.</t>
  </si>
  <si>
    <t>2025-430612</t>
  </si>
  <si>
    <t xml:space="preserve">ZUÑEGA, Ian Joseph </t>
  </si>
  <si>
    <t xml:space="preserve">2023-80072 </t>
  </si>
  <si>
    <t>ARCIO, Viadel</t>
  </si>
  <si>
    <t xml:space="preserve">2024-74322 </t>
  </si>
  <si>
    <t>LOPEZ, Charmel T.</t>
  </si>
  <si>
    <t xml:space="preserve">2024-74001 </t>
  </si>
  <si>
    <t>TAPIA, Regina V.</t>
  </si>
  <si>
    <t xml:space="preserve">2024-74000 </t>
  </si>
  <si>
    <t>TIBAR, Melanie T.</t>
  </si>
  <si>
    <t>: BINDTECH - Electrical Technology 1G</t>
  </si>
  <si>
    <t>: CAF 104</t>
  </si>
  <si>
    <t>CLASS RECORD / 1ST SEMESTER, SY 2025-2026</t>
  </si>
  <si>
    <t>: 1st/2025-2026</t>
  </si>
  <si>
    <t>***nothing follows***</t>
  </si>
  <si>
    <t xml:space="preserve">2025-594368 </t>
  </si>
  <si>
    <t>Abad, Ralf Lorenz</t>
  </si>
  <si>
    <t xml:space="preserve">2025-049213 </t>
  </si>
  <si>
    <t>Alpon, Luis S.</t>
  </si>
  <si>
    <t xml:space="preserve">2025-981736 </t>
  </si>
  <si>
    <t>Araojo, Joseph Haissam S.</t>
  </si>
  <si>
    <t xml:space="preserve">2025-256341 </t>
  </si>
  <si>
    <t>Arcilla, Clyde Andrie C.</t>
  </si>
  <si>
    <t xml:space="preserve">2025-971324 </t>
  </si>
  <si>
    <t>Arcilla, Jay T.</t>
  </si>
  <si>
    <t xml:space="preserve">2025-902358 </t>
  </si>
  <si>
    <t>Arcilla, John Ver T.</t>
  </si>
  <si>
    <t>2025-863902</t>
  </si>
  <si>
    <t>Bagadiong, Stephanie T.</t>
  </si>
  <si>
    <t xml:space="preserve">2025-291684 </t>
  </si>
  <si>
    <t>Balmonte, Clarence B.</t>
  </si>
  <si>
    <t xml:space="preserve">2025-195283 </t>
  </si>
  <si>
    <t>Bombase, Arjay L.</t>
  </si>
  <si>
    <t xml:space="preserve">2025-015736 </t>
  </si>
  <si>
    <t>Bonaagua, Ejay P.</t>
  </si>
  <si>
    <t xml:space="preserve">2025-984531 </t>
  </si>
  <si>
    <t>Bonifacio, John Julian</t>
  </si>
  <si>
    <t xml:space="preserve">2025-407612 </t>
  </si>
  <si>
    <t>Bragais, Carlo B.</t>
  </si>
  <si>
    <t xml:space="preserve">2025-349187 </t>
  </si>
  <si>
    <t>Castor, Khen Ivan D.</t>
  </si>
  <si>
    <t xml:space="preserve">2025-432561 </t>
  </si>
  <si>
    <t>Chavez, Timothy Paul T.</t>
  </si>
  <si>
    <t xml:space="preserve">2025-856170 </t>
  </si>
  <si>
    <t>Dela Cruz, Cris Neil D.</t>
  </si>
  <si>
    <t xml:space="preserve">2025-237104 </t>
  </si>
  <si>
    <t>Eugenio, Jansen I.</t>
  </si>
  <si>
    <t xml:space="preserve">2025-013258 </t>
  </si>
  <si>
    <t>Eustaquio, Ryan D.</t>
  </si>
  <si>
    <t xml:space="preserve">2025-540982 </t>
  </si>
  <si>
    <t>Fernandez, Raymart M.</t>
  </si>
  <si>
    <t xml:space="preserve">2025-307912 </t>
  </si>
  <si>
    <t>Gianan, Fernan E.</t>
  </si>
  <si>
    <t xml:space="preserve">2025-153480 </t>
  </si>
  <si>
    <t>Gonzales, Dane Denverson</t>
  </si>
  <si>
    <t xml:space="preserve">2025-506812 </t>
  </si>
  <si>
    <t>Icaonapo, John Christian B.</t>
  </si>
  <si>
    <t xml:space="preserve">2025-041975 </t>
  </si>
  <si>
    <t>Idanan, Alvin Jhon D.</t>
  </si>
  <si>
    <t xml:space="preserve">2025-018794 </t>
  </si>
  <si>
    <t>Idanan, Dexter T.</t>
  </si>
  <si>
    <t xml:space="preserve">2025-350824 </t>
  </si>
  <si>
    <t>Idanan, Meldan C.</t>
  </si>
  <si>
    <t xml:space="preserve">2025-289403 </t>
  </si>
  <si>
    <t>Leocadio, Jhon Mackey R.</t>
  </si>
  <si>
    <t xml:space="preserve">2025-465023 </t>
  </si>
  <si>
    <t>Magtagñob, Justine V.</t>
  </si>
  <si>
    <t xml:space="preserve">2025-846721 </t>
  </si>
  <si>
    <t>Magtangob, Justin Rain</t>
  </si>
  <si>
    <t xml:space="preserve">2025-231596 </t>
  </si>
  <si>
    <t>Marinay, Joshua</t>
  </si>
  <si>
    <t xml:space="preserve">2025-273145 </t>
  </si>
  <si>
    <t>Olesco, Mark James F.</t>
  </si>
  <si>
    <t xml:space="preserve">2025-029365 </t>
  </si>
  <si>
    <t>Pagal, Jickain P.</t>
  </si>
  <si>
    <t xml:space="preserve">2025-750193 </t>
  </si>
  <si>
    <t>Palero, Archangel C.</t>
  </si>
  <si>
    <t xml:space="preserve">2025-981760 </t>
  </si>
  <si>
    <t>Pantino, Lance Arl Adrian</t>
  </si>
  <si>
    <t xml:space="preserve">2025-356974 </t>
  </si>
  <si>
    <t>Peña, John Laurence M.</t>
  </si>
  <si>
    <t xml:space="preserve">2025-503412 </t>
  </si>
  <si>
    <t>Sandagon, Ranier S.</t>
  </si>
  <si>
    <t xml:space="preserve">2025-470538 </t>
  </si>
  <si>
    <t>Sapico, John Kris P.</t>
  </si>
  <si>
    <t xml:space="preserve">2025-746321 </t>
  </si>
  <si>
    <t>Segismundo, Clarenz Jay D.</t>
  </si>
  <si>
    <t xml:space="preserve">2025-103657 </t>
  </si>
  <si>
    <t>Tabios, Justine C.</t>
  </si>
  <si>
    <t xml:space="preserve">2025-174268 </t>
  </si>
  <si>
    <t>Tabuzo, John Michael D.</t>
  </si>
  <si>
    <t xml:space="preserve">2025-914583 </t>
  </si>
  <si>
    <t>Tabuzo, Rodneywel D.</t>
  </si>
  <si>
    <t xml:space="preserve">2025-634108 </t>
  </si>
  <si>
    <t>Talan, Michael C.</t>
  </si>
  <si>
    <t xml:space="preserve">2025-264703 </t>
  </si>
  <si>
    <t>Talan, Sonny C.</t>
  </si>
  <si>
    <t>2025-829671</t>
  </si>
  <si>
    <t>Terrazola, John Kenneth T.</t>
  </si>
  <si>
    <t>2025-520913</t>
  </si>
  <si>
    <t>Teves, Amadeo James T.</t>
  </si>
  <si>
    <t>2025-561207</t>
  </si>
  <si>
    <t>Torzar, Jereme Val T.</t>
  </si>
  <si>
    <t>2025-485093</t>
  </si>
  <si>
    <t>Ubalde, Rafael T.</t>
  </si>
  <si>
    <t xml:space="preserve">2025-243051 </t>
  </si>
  <si>
    <t>Mediario, Angel Valinetine</t>
  </si>
  <si>
    <t>2025-374802</t>
  </si>
  <si>
    <t>Torrente, Alexandra C.</t>
  </si>
  <si>
    <t>: BINDTECH - Automotive Technology 1D</t>
  </si>
  <si>
    <t>: CAF ROOM 105</t>
  </si>
  <si>
    <t>: 1:00-2:30 /MTh</t>
  </si>
  <si>
    <t>: BINDTECH -HVACR  1I</t>
  </si>
  <si>
    <t>: 1:00-2:30/TF</t>
  </si>
  <si>
    <t>: MTH/9:00-10:30</t>
  </si>
  <si>
    <t>: COS ROOM 308</t>
  </si>
  <si>
    <r>
      <rPr>
        <u/>
        <sz val="12"/>
        <color theme="1"/>
        <rFont val="Arial"/>
        <family val="2"/>
      </rPr>
      <t>1st</t>
    </r>
    <r>
      <rPr>
        <sz val="12"/>
        <color theme="1"/>
        <rFont val="Arial"/>
        <family val="2"/>
      </rPr>
      <t xml:space="preserve"> Semester, SY </t>
    </r>
    <r>
      <rPr>
        <u/>
        <sz val="12"/>
        <color theme="1"/>
        <rFont val="Arial"/>
        <family val="2"/>
      </rPr>
      <t>2025-2026</t>
    </r>
  </si>
  <si>
    <r>
      <t xml:space="preserve">From </t>
    </r>
    <r>
      <rPr>
        <u/>
        <sz val="12"/>
        <color theme="1"/>
        <rFont val="Arial"/>
        <family val="2"/>
      </rPr>
      <t>August, 2025</t>
    </r>
    <r>
      <rPr>
        <sz val="12"/>
        <color theme="1"/>
        <rFont val="Arial"/>
        <family val="2"/>
      </rPr>
      <t xml:space="preserve"> to </t>
    </r>
    <r>
      <rPr>
        <u/>
        <sz val="12"/>
        <color theme="1"/>
        <rFont val="Arial"/>
        <family val="2"/>
      </rPr>
      <t>December, 2025</t>
    </r>
  </si>
  <si>
    <t xml:space="preserve">: BINDTECH - Automotic Technology 1D                       </t>
  </si>
  <si>
    <t xml:space="preserve">: 2:30 - 4:00 PM                                      </t>
  </si>
  <si>
    <t xml:space="preserve">: MTh                                     </t>
  </si>
  <si>
    <t xml:space="preserve">: BINDTECH - ET 1G                             </t>
  </si>
  <si>
    <t xml:space="preserve">2025-076524 </t>
  </si>
  <si>
    <t>Albios, Maoui</t>
  </si>
  <si>
    <t xml:space="preserve">2025-531268 </t>
  </si>
  <si>
    <t>Algo, Gian Carlo</t>
  </si>
  <si>
    <t xml:space="preserve">2025-526739 </t>
  </si>
  <si>
    <t>Aracena, Cedrick D.</t>
  </si>
  <si>
    <t xml:space="preserve">2025-489327 </t>
  </si>
  <si>
    <t>Arcilla, Earl Kian S.</t>
  </si>
  <si>
    <t xml:space="preserve">2025-482395 </t>
  </si>
  <si>
    <t>Avila, Renz Gilbert A.</t>
  </si>
  <si>
    <t xml:space="preserve">2025-903275 </t>
  </si>
  <si>
    <t>Bagadiong, Steve Lloyd M.</t>
  </si>
  <si>
    <t xml:space="preserve">2025-958374 </t>
  </si>
  <si>
    <t>Balderama, Jayson T.</t>
  </si>
  <si>
    <t xml:space="preserve">2025-863752 </t>
  </si>
  <si>
    <t>Balmadrid, John Rose S.</t>
  </si>
  <si>
    <t xml:space="preserve">2025-486297 </t>
  </si>
  <si>
    <t>Balmonte, Lawrence B.</t>
  </si>
  <si>
    <t xml:space="preserve">2025-759682 </t>
  </si>
  <si>
    <t>Bandol, Edward</t>
  </si>
  <si>
    <t xml:space="preserve">2025-694713 </t>
  </si>
  <si>
    <t>Benavidez, Donald P.</t>
  </si>
  <si>
    <t xml:space="preserve">2025-645389 </t>
  </si>
  <si>
    <t>Benavidez, Nico Pierre Z.</t>
  </si>
  <si>
    <t xml:space="preserve">2025-189305 </t>
  </si>
  <si>
    <t>Briones, Nino S.</t>
  </si>
  <si>
    <t xml:space="preserve">2025-876594 </t>
  </si>
  <si>
    <t>Clado, Niel John P.</t>
  </si>
  <si>
    <t xml:space="preserve">2025-128094 </t>
  </si>
  <si>
    <t>Clemente, Carldarren A.</t>
  </si>
  <si>
    <t xml:space="preserve">2025-095684 </t>
  </si>
  <si>
    <t>Clemente, Dean Mark T.</t>
  </si>
  <si>
    <t xml:space="preserve">2025-439761 </t>
  </si>
  <si>
    <t>Del Barrio, Richard T.</t>
  </si>
  <si>
    <t xml:space="preserve">2025-975068 </t>
  </si>
  <si>
    <t>Flores, John Lester D .</t>
  </si>
  <si>
    <t xml:space="preserve">2025-547136 </t>
  </si>
  <si>
    <t>Gianan, Hansley Dhan D.</t>
  </si>
  <si>
    <t xml:space="preserve">2025-263591 </t>
  </si>
  <si>
    <t>Gianan, Paulo T.</t>
  </si>
  <si>
    <t xml:space="preserve">2025-147623 </t>
  </si>
  <si>
    <t>Guazon, Dwayne Ive G.</t>
  </si>
  <si>
    <t xml:space="preserve">2025-958160 </t>
  </si>
  <si>
    <t>Iyana, Jason M.</t>
  </si>
  <si>
    <t xml:space="preserve">2025-537260 </t>
  </si>
  <si>
    <t>Landicho, John Kenneth R.</t>
  </si>
  <si>
    <t xml:space="preserve">2025-689245 </t>
  </si>
  <si>
    <t>Lopez, John Paul I.</t>
  </si>
  <si>
    <t xml:space="preserve">2025-432061 </t>
  </si>
  <si>
    <t>Magbanua, James-Von R.</t>
  </si>
  <si>
    <t xml:space="preserve">2025-543697 </t>
  </si>
  <si>
    <t>Manlangit, Johan B.</t>
  </si>
  <si>
    <t xml:space="preserve">2025-186379 </t>
  </si>
  <si>
    <t>Mariano, Jhon Benedick M.</t>
  </si>
  <si>
    <t xml:space="preserve">2025-359682 </t>
  </si>
  <si>
    <t>Natural, Gil Niño A.</t>
  </si>
  <si>
    <t xml:space="preserve">2025-746839 </t>
  </si>
  <si>
    <t>Olarve, Luijay S.</t>
  </si>
  <si>
    <t xml:space="preserve">2025-612037 </t>
  </si>
  <si>
    <t>Osia, Mark Aron T.</t>
  </si>
  <si>
    <t xml:space="preserve">2025-269034 </t>
  </si>
  <si>
    <t>Pantino, Byran Jr. E.</t>
  </si>
  <si>
    <t xml:space="preserve">2025-593817 </t>
  </si>
  <si>
    <t>Rodriguez, Cristian B.</t>
  </si>
  <si>
    <t xml:space="preserve">2025-360258 </t>
  </si>
  <si>
    <t>San Buenaventura, Justin</t>
  </si>
  <si>
    <t xml:space="preserve">2025-569143 </t>
  </si>
  <si>
    <t>Sangat, Mark Ian M.</t>
  </si>
  <si>
    <t xml:space="preserve">2025-436102 </t>
  </si>
  <si>
    <t>Sarmiento, Joshua A.</t>
  </si>
  <si>
    <t xml:space="preserve">2024-74395 </t>
  </si>
  <si>
    <t>Solero, Elijah Andrei S.</t>
  </si>
  <si>
    <t xml:space="preserve">2025-279385 </t>
  </si>
  <si>
    <t>Somido, Louie L.</t>
  </si>
  <si>
    <t xml:space="preserve">2025-715924 </t>
  </si>
  <si>
    <t>Tabian, Cjay T.</t>
  </si>
  <si>
    <t xml:space="preserve">2025-153290 </t>
  </si>
  <si>
    <t>Tabios, Laurence M.</t>
  </si>
  <si>
    <t xml:space="preserve">2025-489123 </t>
  </si>
  <si>
    <t>Tapar, Jhon Carlo T.</t>
  </si>
  <si>
    <t xml:space="preserve">2025-078461 </t>
  </si>
  <si>
    <t>Tatel, Justine Jay C.</t>
  </si>
  <si>
    <t xml:space="preserve">2025-450126 </t>
  </si>
  <si>
    <t>Tibar ,Noel</t>
  </si>
  <si>
    <t xml:space="preserve">2025-842306 </t>
  </si>
  <si>
    <t>Tomagan, Justin</t>
  </si>
  <si>
    <t xml:space="preserve">2025-893410 </t>
  </si>
  <si>
    <t>Torrecampo, Lander T.</t>
  </si>
  <si>
    <t xml:space="preserve">2025-573284 </t>
  </si>
  <si>
    <t>Torrente, Jhun Michael P.</t>
  </si>
  <si>
    <t xml:space="preserve">2025-801492 </t>
  </si>
  <si>
    <t>Torzar, Jhon Russel T.</t>
  </si>
  <si>
    <t xml:space="preserve">2025-309614 </t>
  </si>
  <si>
    <t>Traballo, Christian T.</t>
  </si>
  <si>
    <t xml:space="preserve">2025-387102 </t>
  </si>
  <si>
    <t>Traqueña, Kyle Lander B.</t>
  </si>
  <si>
    <t xml:space="preserve">2025-162893 </t>
  </si>
  <si>
    <t>Tuazon, Rene M.</t>
  </si>
  <si>
    <t xml:space="preserve">025-514780 </t>
  </si>
  <si>
    <t>Vargas, Denver S.</t>
  </si>
  <si>
    <t xml:space="preserve">2025-913806 </t>
  </si>
  <si>
    <t>Vargas, Jayson Z.</t>
  </si>
  <si>
    <t xml:space="preserve">2025-815247 </t>
  </si>
  <si>
    <t>Vargas, Josel B.</t>
  </si>
  <si>
    <t xml:space="preserve">2025-614230 </t>
  </si>
  <si>
    <t>Vargas, Vince Russel B.</t>
  </si>
  <si>
    <t xml:space="preserve">2025-961835 </t>
  </si>
  <si>
    <t>Velarde, James D.</t>
  </si>
  <si>
    <t xml:space="preserve">2025-147803 </t>
  </si>
  <si>
    <t>Vigen, Angel.</t>
  </si>
  <si>
    <t xml:space="preserve">2025-874932 </t>
  </si>
  <si>
    <t>Violata, John Carlo G.</t>
  </si>
  <si>
    <t>: CBA ROOM 101</t>
  </si>
  <si>
    <t>2023-72296</t>
  </si>
  <si>
    <t>Subion, Andy II</t>
  </si>
  <si>
    <t>Talla, Adrin P.</t>
  </si>
  <si>
    <t>Abad, Ruth D.</t>
  </si>
  <si>
    <t>Amascual, Abegail</t>
  </si>
  <si>
    <t>Frias, Janice</t>
  </si>
  <si>
    <t>Panti, Zeis Christine</t>
  </si>
  <si>
    <t>Samontanes, Gyrlyn</t>
  </si>
  <si>
    <t>Timwat, Benny Rose</t>
  </si>
  <si>
    <t>Torrente, Cristine Joy P.</t>
  </si>
  <si>
    <t>Versoza, Maria Bea R.</t>
  </si>
  <si>
    <t>2023-72743</t>
  </si>
  <si>
    <t>2023-71945</t>
  </si>
  <si>
    <t>2023-72589</t>
  </si>
  <si>
    <t>2023-72987</t>
  </si>
  <si>
    <t>2022-62711</t>
  </si>
  <si>
    <t>2023-71776</t>
  </si>
  <si>
    <t>2023-71748</t>
  </si>
  <si>
    <t>2023-72421</t>
  </si>
  <si>
    <t>2023-72917</t>
  </si>
  <si>
    <t>2023-72936</t>
  </si>
  <si>
    <t>2023-72818</t>
  </si>
  <si>
    <t>2023-70886</t>
  </si>
  <si>
    <t>2023-71806</t>
  </si>
  <si>
    <t>2023-72929</t>
  </si>
  <si>
    <t>2023-71793</t>
  </si>
  <si>
    <t>2022-61674</t>
  </si>
  <si>
    <t>2023-72155</t>
  </si>
  <si>
    <t>2023-72441</t>
  </si>
  <si>
    <t>2023-80473</t>
  </si>
  <si>
    <t>2023-73783</t>
  </si>
  <si>
    <t>2023-72174</t>
  </si>
  <si>
    <t>2023-72777</t>
  </si>
  <si>
    <t>2023-724298</t>
  </si>
  <si>
    <t>2023-72081</t>
  </si>
  <si>
    <t>2023-72988</t>
  </si>
  <si>
    <t>2023-70728</t>
  </si>
  <si>
    <t>2023-71617</t>
  </si>
  <si>
    <t>2022-61526</t>
  </si>
  <si>
    <t>2023-72651</t>
  </si>
  <si>
    <t>: BS Biology 3C</t>
  </si>
  <si>
    <t>2025-561708</t>
  </si>
  <si>
    <t>Aberto, Gian Carl M.</t>
  </si>
  <si>
    <t>2025-609728</t>
  </si>
  <si>
    <t>Araojo, Jay Mark.</t>
  </si>
  <si>
    <t xml:space="preserve">Surban, Kyla S. </t>
  </si>
  <si>
    <t>Taller, Aira Mae P.</t>
  </si>
  <si>
    <t>Techon, Christian Dave T.</t>
  </si>
  <si>
    <t xml:space="preserve">: 1:00 - 2:30 PM                                    </t>
  </si>
  <si>
    <t xml:space="preserve">: BINTECH - HVACR 1I                          </t>
  </si>
  <si>
    <t xml:space="preserve">2025-514780 </t>
  </si>
  <si>
    <r>
      <t xml:space="preserve">College of </t>
    </r>
    <r>
      <rPr>
        <u/>
        <sz val="12"/>
        <color theme="1"/>
        <rFont val="Arial"/>
        <family val="2"/>
      </rPr>
      <t>Science</t>
    </r>
  </si>
  <si>
    <t xml:space="preserve">: GEC 7                                          </t>
  </si>
  <si>
    <t>: Science, Technology &amp; Society</t>
  </si>
  <si>
    <t xml:space="preserve">: 9:00 - 10:30 AM                                      </t>
  </si>
  <si>
    <t xml:space="preserve">: TF                                </t>
  </si>
  <si>
    <t xml:space="preserve">: BS Biology 3C                            </t>
  </si>
  <si>
    <t>CatSU-F-OARS-06                                                                              Rev. 1                                                                                             Effectivity :  November 13, 2024</t>
  </si>
  <si>
    <t>CatSU-F-OARS-06                                                                              Rev. 1                                                           Effectivity :  November 13, 2024</t>
  </si>
  <si>
    <t>Tarrago, Maxime B.</t>
  </si>
  <si>
    <t xml:space="preserve">PELAGIO, John Michael D. </t>
  </si>
  <si>
    <t>2022-00536</t>
  </si>
  <si>
    <t>BEO, Rey C. Jr.</t>
  </si>
  <si>
    <t xml:space="preserve">: BINDTECH - Culinary Technology  </t>
  </si>
  <si>
    <t>Torcilino, Myka T.</t>
  </si>
  <si>
    <t>Tolbe, Ladylyn B.</t>
  </si>
  <si>
    <t>Rebillon, Christine E.</t>
  </si>
  <si>
    <t>Pinera, Maricar F.</t>
  </si>
  <si>
    <t>Pelagio, Sharon D.</t>
  </si>
  <si>
    <t>Olido, Roxane Joy R.</t>
  </si>
  <si>
    <t>Lopez, Beverly B.</t>
  </si>
  <si>
    <t>Fernandez, Sofia Bianca Q.</t>
  </si>
  <si>
    <t>Fernandez, Jecel E.</t>
  </si>
  <si>
    <t>Colis, Erica C.</t>
  </si>
  <si>
    <t>Camu, Lucky Ann L.</t>
  </si>
  <si>
    <t>Boribor, Shannelle M.</t>
  </si>
  <si>
    <t xml:space="preserve">Borbe, Mareanne T. </t>
  </si>
  <si>
    <t>Bonita, Juvelyn R.</t>
  </si>
  <si>
    <t xml:space="preserve">Berwela, Jessabel S. </t>
  </si>
  <si>
    <t xml:space="preserve">Beguiras, Abegail T. </t>
  </si>
  <si>
    <t xml:space="preserve">Apanti, Evangeline T. </t>
  </si>
  <si>
    <t>Abines, Abegail Y.</t>
  </si>
  <si>
    <t xml:space="preserve">Beo, Lynneth M. </t>
  </si>
  <si>
    <t>CatSU-F-OARS-06                                                                              Rev. 1                                                                                                   Effectivity :  November 13, 2024</t>
  </si>
  <si>
    <t>CatSU-F-OARS-06                                                                              Rev. 1                                                                                                  Effectivity :  November 13, 2024</t>
  </si>
  <si>
    <t xml:space="preserve">: 1:00 - 2:30 PM                                     </t>
  </si>
  <si>
    <t>12/1/285</t>
  </si>
  <si>
    <t>MA. LUZ A. FLORALDE, MATChem</t>
  </si>
  <si>
    <t>CatSU-F-OARS-06                                                                              Rev. 1                                                                Effectivity :  November 13, 2024</t>
  </si>
  <si>
    <t xml:space="preserve">: BINDTECH - Culinary Technology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</si>
</sst>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5" x14ac:knownFonts="1">
    <font>
      <sz val="11"/>
      <color theme="1"/>
      <name val="Calibri"/>
      <family val="2"/>
      <scheme val="minor"/>
    </font>
    <font>
      <i/>
      <sz val="9.5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sz val="8.5"/>
      <color theme="1"/>
      <name val="Arial"/>
      <family val="2"/>
    </font>
    <font>
      <i/>
      <sz val="8.5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sz val="11"/>
      <color rgb="FF000000"/>
      <name val="Arial"/>
      <family val="2"/>
    </font>
    <font>
      <b/>
      <i/>
      <sz val="10"/>
      <color theme="1"/>
      <name val="Arial"/>
      <family val="2"/>
    </font>
    <font>
      <sz val="10"/>
      <name val="Arial"/>
      <family val="2"/>
    </font>
    <font>
      <sz val="8"/>
      <color theme="1"/>
      <name val="Arial"/>
      <family val="2"/>
    </font>
    <font>
      <b/>
      <sz val="11"/>
      <color theme="1"/>
      <name val="Calibri"/>
      <family val="2"/>
      <scheme val="minor"/>
    </font>
    <font>
      <i/>
      <sz val="10"/>
      <color theme="1"/>
      <name val="Arial"/>
      <family val="2"/>
    </font>
    <font>
      <b/>
      <sz val="11"/>
      <color theme="1"/>
      <name val="Arial"/>
      <family val="2"/>
    </font>
    <font>
      <b/>
      <sz val="6"/>
      <name val="Arial"/>
      <family val="2"/>
    </font>
    <font>
      <b/>
      <sz val="7.5"/>
      <name val="Arial"/>
      <family val="2"/>
    </font>
    <font>
      <b/>
      <sz val="7.5"/>
      <name val="Arial Narrow"/>
      <family val="2"/>
    </font>
    <font>
      <b/>
      <sz val="7"/>
      <name val="Arial Narrow"/>
      <family val="2"/>
    </font>
    <font>
      <b/>
      <sz val="6"/>
      <name val="Arial Narrow"/>
      <family val="2"/>
    </font>
    <font>
      <sz val="8"/>
      <name val="Calibri"/>
      <family val="2"/>
      <scheme val="minor"/>
    </font>
    <font>
      <b/>
      <sz val="8"/>
      <name val="Arial Narrow"/>
      <family val="2"/>
    </font>
    <font>
      <i/>
      <sz val="8"/>
      <name val="Arial Narrow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7"/>
      <color theme="1"/>
      <name val="Arial Narrow"/>
      <family val="2"/>
    </font>
    <font>
      <b/>
      <sz val="8"/>
      <color rgb="FF0000FF"/>
      <name val="Arial Narrow"/>
      <family val="2"/>
    </font>
    <font>
      <sz val="10"/>
      <color theme="1"/>
      <name val="Arial Narrow"/>
      <family val="2"/>
    </font>
    <font>
      <sz val="10"/>
      <name val="Arial Narrow"/>
      <family val="2"/>
    </font>
    <font>
      <b/>
      <sz val="8"/>
      <color rgb="FFFF0000"/>
      <name val="Arial Narrow"/>
      <family val="2"/>
    </font>
    <font>
      <b/>
      <sz val="8"/>
      <color rgb="FF009900"/>
      <name val="Arial Narrow"/>
      <family val="2"/>
    </font>
    <font>
      <b/>
      <sz val="8"/>
      <color theme="1"/>
      <name val="Arial Narrow"/>
      <family val="2"/>
    </font>
    <font>
      <b/>
      <sz val="8"/>
      <color rgb="FF008000"/>
      <name val="Arial Narrow"/>
      <family val="2"/>
    </font>
    <font>
      <b/>
      <sz val="9"/>
      <name val="Arial"/>
      <family val="2"/>
    </font>
    <font>
      <sz val="11"/>
      <color rgb="FF0000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Arial"/>
      <family val="2"/>
    </font>
    <font>
      <sz val="9.5"/>
      <color rgb="FF000000"/>
      <name val="Arial"/>
      <family val="2"/>
    </font>
    <font>
      <sz val="9.5"/>
      <color theme="1"/>
      <name val="Arial"/>
      <family val="2"/>
    </font>
    <font>
      <sz val="9"/>
      <color rgb="FF000000"/>
      <name val="Arial"/>
      <family val="2"/>
    </font>
    <font>
      <b/>
      <u/>
      <sz val="11"/>
      <color theme="1"/>
      <name val="Calibri"/>
      <family val="2"/>
      <scheme val="minor"/>
    </font>
    <font>
      <sz val="12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b/>
      <sz val="12"/>
      <color theme="1"/>
      <name val="Arial"/>
      <family val="2"/>
    </font>
    <font>
      <u/>
      <sz val="12"/>
      <color theme="1"/>
      <name val="Arial"/>
      <family val="2"/>
    </font>
    <font>
      <sz val="8"/>
      <color rgb="FF000000"/>
      <name val="Arial"/>
      <family val="2"/>
    </font>
    <font>
      <b/>
      <i/>
      <sz val="8"/>
      <color theme="1"/>
      <name val="Arial"/>
      <family val="2"/>
    </font>
    <font>
      <sz val="10"/>
      <color rgb="FF000000"/>
      <name val="Arial"/>
      <family val="2"/>
    </font>
    <font>
      <sz val="8"/>
      <color rgb="FF000000"/>
      <name val="Arial Narrow"/>
      <family val="2"/>
    </font>
    <font>
      <sz val="8"/>
      <color theme="1"/>
      <name val="Arial Narrow"/>
      <family val="2"/>
    </font>
    <font>
      <sz val="8"/>
      <name val="Arial Narrow"/>
      <family val="2"/>
    </font>
    <font>
      <b/>
      <sz val="8"/>
      <color rgb="FF00B0F0"/>
      <name val="Arial Narrow"/>
      <family val="2"/>
    </font>
    <font>
      <b/>
      <sz val="8"/>
      <name val="Arial"/>
      <family val="2"/>
    </font>
    <font>
      <sz val="8"/>
      <color rgb="FF002060"/>
      <name val="Arial Narrow"/>
      <family val="2"/>
    </font>
    <font>
      <b/>
      <sz val="8"/>
      <color theme="9" tint="-0.249977111117893"/>
      <name val="Arial Narrow"/>
      <family val="2"/>
    </font>
    <font>
      <b/>
      <sz val="8"/>
      <color theme="1"/>
      <name val="Arial"/>
      <family val="2"/>
    </font>
    <font>
      <b/>
      <sz val="8"/>
      <color rgb="FF00B050"/>
      <name val="Arial Narrow"/>
      <family val="2"/>
    </font>
    <font>
      <b/>
      <sz val="5"/>
      <name val="Arial Narrow"/>
      <family val="2"/>
    </font>
    <font>
      <b/>
      <sz val="7.5"/>
      <color theme="1"/>
      <name val="Arial Narrow"/>
      <family val="2"/>
    </font>
    <font>
      <b/>
      <sz val="6"/>
      <color theme="1"/>
      <name val="Arial Narrow"/>
      <family val="2"/>
    </font>
    <font>
      <b/>
      <sz val="5"/>
      <color theme="1"/>
      <name val="Arial Narrow"/>
      <family val="2"/>
    </font>
    <font>
      <b/>
      <sz val="5.5"/>
      <name val="Arial Narrow"/>
      <family val="2"/>
    </font>
    <font>
      <b/>
      <sz val="6"/>
      <color theme="1"/>
      <name val="Arial"/>
      <family val="2"/>
    </font>
    <font>
      <i/>
      <sz val="8"/>
      <color theme="1"/>
      <name val="Arial"/>
      <family val="2"/>
    </font>
    <font>
      <sz val="6"/>
      <color theme="1"/>
      <name val="Arial"/>
      <family val="2"/>
    </font>
    <font>
      <sz val="9.5"/>
      <name val="Arial"/>
      <family val="2"/>
    </font>
    <font>
      <b/>
      <sz val="9.5"/>
      <name val="Arial"/>
      <family val="2"/>
    </font>
    <font>
      <b/>
      <sz val="9.5"/>
      <color theme="1"/>
      <name val="Arial"/>
      <family val="2"/>
    </font>
    <font>
      <b/>
      <sz val="9.5"/>
      <color theme="1"/>
      <name val="Calibri"/>
      <family val="2"/>
      <scheme val="minor"/>
    </font>
    <font>
      <b/>
      <sz val="7"/>
      <name val="Arial"/>
      <family val="2"/>
    </font>
    <font>
      <sz val="7.5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i/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rgb="FF000000"/>
      <name val="Arial"/>
      <family val="2"/>
    </font>
    <font>
      <b/>
      <i/>
      <sz val="9.5"/>
      <color rgb="FF0000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EB6BD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637">
    <xf numFmtId="0" fontId="0" fillId="0" borderId="0"/>
    <xf numFmtId="0" fontId="11" fillId="0" borderId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9" fontId="77" fillId="0" borderId="0" applyFont="0" applyFill="0" applyBorder="0" applyAlignment="0" applyProtection="0"/>
  </cellStyleXfs>
  <cellXfs count="70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/>
    <xf numFmtId="0" fontId="23" fillId="0" borderId="0" xfId="1" applyFont="1" applyAlignment="1">
      <alignment horizontal="center" vertical="center"/>
    </xf>
    <xf numFmtId="0" fontId="26" fillId="0" borderId="0" xfId="0" applyFont="1"/>
    <xf numFmtId="0" fontId="28" fillId="0" borderId="0" xfId="0" applyFont="1"/>
    <xf numFmtId="0" fontId="31" fillId="0" borderId="0" xfId="0" applyFont="1"/>
    <xf numFmtId="0" fontId="0" fillId="0" borderId="0" xfId="0" applyAlignment="1">
      <alignment horizontal="center"/>
    </xf>
    <xf numFmtId="0" fontId="27" fillId="0" borderId="0" xfId="0" applyFont="1" applyAlignment="1">
      <alignment horizontal="left"/>
    </xf>
    <xf numFmtId="0" fontId="13" fillId="0" borderId="1" xfId="0" applyFont="1" applyBorder="1" applyAlignment="1">
      <alignment vertical="center" wrapText="1"/>
    </xf>
    <xf numFmtId="0" fontId="13" fillId="0" borderId="1" xfId="0" applyFont="1" applyBorder="1" applyAlignment="1">
      <alignment horizontal="center" vertical="center" wrapText="1"/>
    </xf>
    <xf numFmtId="0" fontId="7" fillId="0" borderId="0" xfId="0" applyFont="1"/>
    <xf numFmtId="0" fontId="15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18" fillId="0" borderId="1" xfId="1" applyFont="1" applyBorder="1" applyAlignment="1">
      <alignment horizontal="center" vertical="center"/>
    </xf>
    <xf numFmtId="0" fontId="0" fillId="6" borderId="0" xfId="0" applyFill="1"/>
    <xf numFmtId="164" fontId="30" fillId="0" borderId="1" xfId="1" applyNumberFormat="1" applyFont="1" applyBorder="1" applyAlignment="1">
      <alignment horizontal="left" vertical="center" wrapText="1"/>
    </xf>
    <xf numFmtId="1" fontId="22" fillId="0" borderId="1" xfId="1" applyNumberFormat="1" applyFont="1" applyBorder="1" applyAlignment="1">
      <alignment horizontal="left" vertical="center" wrapText="1"/>
    </xf>
    <xf numFmtId="0" fontId="38" fillId="0" borderId="0" xfId="0" applyFont="1"/>
    <xf numFmtId="0" fontId="6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justify" vertical="center" wrapText="1"/>
    </xf>
    <xf numFmtId="164" fontId="11" fillId="0" borderId="0" xfId="1" applyNumberFormat="1" applyAlignment="1">
      <alignment horizontal="center"/>
    </xf>
    <xf numFmtId="164" fontId="8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10" fillId="0" borderId="1" xfId="0" applyFont="1" applyBorder="1" applyAlignment="1">
      <alignment horizontal="center" vertical="center" wrapText="1"/>
    </xf>
    <xf numFmtId="0" fontId="26" fillId="0" borderId="0" xfId="0" applyFont="1" applyAlignment="1">
      <alignment horizontal="left" vertical="center"/>
    </xf>
    <xf numFmtId="0" fontId="7" fillId="0" borderId="0" xfId="0" applyFont="1" applyAlignment="1">
      <alignment vertical="top"/>
    </xf>
    <xf numFmtId="164" fontId="7" fillId="0" borderId="1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 vertical="center" wrapText="1"/>
    </xf>
    <xf numFmtId="0" fontId="7" fillId="0" borderId="7" xfId="0" applyFont="1" applyBorder="1"/>
    <xf numFmtId="0" fontId="7" fillId="0" borderId="3" xfId="0" applyFont="1" applyBorder="1"/>
    <xf numFmtId="0" fontId="7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7" fillId="0" borderId="5" xfId="1" applyFont="1" applyBorder="1" applyAlignment="1">
      <alignment vertical="center"/>
    </xf>
    <xf numFmtId="164" fontId="7" fillId="0" borderId="1" xfId="0" applyNumberFormat="1" applyFont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center"/>
    </xf>
    <xf numFmtId="0" fontId="0" fillId="2" borderId="0" xfId="0" applyFill="1"/>
    <xf numFmtId="0" fontId="15" fillId="0" borderId="5" xfId="0" applyFont="1" applyBorder="1" applyAlignment="1">
      <alignment horizontal="center" vertical="center" wrapText="1"/>
    </xf>
    <xf numFmtId="0" fontId="15" fillId="0" borderId="5" xfId="0" applyFont="1" applyBorder="1" applyAlignment="1">
      <alignment vertical="center" wrapText="1"/>
    </xf>
    <xf numFmtId="0" fontId="0" fillId="2" borderId="1" xfId="0" applyFill="1" applyBorder="1"/>
    <xf numFmtId="0" fontId="47" fillId="0" borderId="1" xfId="0" applyFont="1" applyBorder="1" applyAlignment="1">
      <alignment horizontal="center" vertical="center" wrapText="1"/>
    </xf>
    <xf numFmtId="164" fontId="46" fillId="0" borderId="1" xfId="0" applyNumberFormat="1" applyFont="1" applyBorder="1" applyAlignment="1">
      <alignment horizontal="center" vertical="center" wrapText="1"/>
    </xf>
    <xf numFmtId="0" fontId="46" fillId="0" borderId="0" xfId="0" applyFont="1"/>
    <xf numFmtId="0" fontId="46" fillId="0" borderId="7" xfId="0" applyFont="1" applyBorder="1"/>
    <xf numFmtId="0" fontId="46" fillId="0" borderId="3" xfId="0" applyFont="1" applyBorder="1"/>
    <xf numFmtId="0" fontId="46" fillId="0" borderId="0" xfId="0" applyFont="1" applyAlignment="1">
      <alignment vertical="top"/>
    </xf>
    <xf numFmtId="0" fontId="46" fillId="0" borderId="0" xfId="0" applyFont="1" applyAlignment="1">
      <alignment horizontal="center"/>
    </xf>
    <xf numFmtId="0" fontId="48" fillId="0" borderId="0" xfId="0" applyFont="1"/>
    <xf numFmtId="0" fontId="38" fillId="0" borderId="1" xfId="0" applyFont="1" applyBorder="1"/>
    <xf numFmtId="14" fontId="20" fillId="0" borderId="3" xfId="1" applyNumberFormat="1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5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vertical="center" wrapText="1"/>
    </xf>
    <xf numFmtId="164" fontId="30" fillId="0" borderId="0" xfId="1" applyNumberFormat="1" applyFont="1" applyAlignment="1">
      <alignment horizontal="left" vertical="center" wrapText="1"/>
    </xf>
    <xf numFmtId="164" fontId="30" fillId="0" borderId="6" xfId="1" applyNumberFormat="1" applyFont="1" applyBorder="1" applyAlignment="1">
      <alignment horizontal="left" vertical="center" wrapText="1"/>
    </xf>
    <xf numFmtId="164" fontId="34" fillId="0" borderId="6" xfId="1" applyNumberFormat="1" applyFont="1" applyBorder="1" applyAlignment="1">
      <alignment horizontal="left" vertical="center" wrapText="1"/>
    </xf>
    <xf numFmtId="0" fontId="17" fillId="0" borderId="9" xfId="1" applyFont="1" applyBorder="1" applyAlignment="1">
      <alignment horizontal="center" vertical="center"/>
    </xf>
    <xf numFmtId="0" fontId="37" fillId="0" borderId="0" xfId="1" applyFont="1" applyAlignment="1">
      <alignment horizontal="center" vertical="center"/>
    </xf>
    <xf numFmtId="0" fontId="17" fillId="0" borderId="1" xfId="1" applyFont="1" applyBorder="1" applyAlignment="1">
      <alignment horizontal="center" vertical="center"/>
    </xf>
    <xf numFmtId="14" fontId="20" fillId="0" borderId="0" xfId="1" applyNumberFormat="1" applyFont="1" applyAlignment="1">
      <alignment horizontal="center" vertical="center"/>
    </xf>
    <xf numFmtId="14" fontId="20" fillId="0" borderId="7" xfId="1" applyNumberFormat="1" applyFont="1" applyBorder="1" applyAlignment="1">
      <alignment horizontal="center" vertical="center"/>
    </xf>
    <xf numFmtId="0" fontId="50" fillId="0" borderId="1" xfId="0" applyFont="1" applyBorder="1" applyAlignment="1">
      <alignment horizontal="left" vertical="center" wrapText="1"/>
    </xf>
    <xf numFmtId="1" fontId="55" fillId="0" borderId="4" xfId="0" applyNumberFormat="1" applyFont="1" applyBorder="1" applyAlignment="1">
      <alignment horizontal="center"/>
    </xf>
    <xf numFmtId="0" fontId="53" fillId="0" borderId="1" xfId="0" applyFont="1" applyBorder="1" applyAlignment="1">
      <alignment horizontal="center" vertical="center" wrapText="1"/>
    </xf>
    <xf numFmtId="1" fontId="54" fillId="0" borderId="4" xfId="0" applyNumberFormat="1" applyFont="1" applyBorder="1" applyAlignment="1">
      <alignment horizontal="center" vertical="center" wrapText="1"/>
    </xf>
    <xf numFmtId="0" fontId="55" fillId="0" borderId="5" xfId="0" applyFont="1" applyBorder="1" applyAlignment="1">
      <alignment horizontal="center" vertical="center"/>
    </xf>
    <xf numFmtId="1" fontId="54" fillId="0" borderId="1" xfId="0" applyNumberFormat="1" applyFont="1" applyBorder="1" applyAlignment="1">
      <alignment horizontal="center" vertical="center" wrapText="1"/>
    </xf>
    <xf numFmtId="0" fontId="54" fillId="0" borderId="1" xfId="0" applyFont="1" applyBorder="1" applyAlignment="1">
      <alignment horizontal="center"/>
    </xf>
    <xf numFmtId="0" fontId="54" fillId="0" borderId="1" xfId="0" applyFont="1" applyBorder="1" applyAlignment="1">
      <alignment horizontal="center" vertical="center"/>
    </xf>
    <xf numFmtId="0" fontId="18" fillId="0" borderId="1" xfId="1" applyFont="1" applyBorder="1" applyAlignment="1">
      <alignment horizontal="center" vertical="center" wrapText="1"/>
    </xf>
    <xf numFmtId="1" fontId="55" fillId="0" borderId="1" xfId="0" applyNumberFormat="1" applyFont="1" applyBorder="1" applyAlignment="1">
      <alignment horizontal="center" vertical="center"/>
    </xf>
    <xf numFmtId="0" fontId="19" fillId="0" borderId="7" xfId="1" applyFont="1" applyBorder="1" applyAlignment="1">
      <alignment horizontal="center" vertical="center" wrapText="1"/>
    </xf>
    <xf numFmtId="0" fontId="57" fillId="0" borderId="1" xfId="1" applyFont="1" applyBorder="1" applyAlignment="1">
      <alignment horizontal="center" vertical="center"/>
    </xf>
    <xf numFmtId="1" fontId="55" fillId="0" borderId="4" xfId="0" applyNumberFormat="1" applyFont="1" applyBorder="1" applyAlignment="1">
      <alignment horizontal="center" vertical="center"/>
    </xf>
    <xf numFmtId="0" fontId="55" fillId="0" borderId="1" xfId="0" applyFont="1" applyBorder="1" applyAlignment="1">
      <alignment horizontal="center" vertical="center"/>
    </xf>
    <xf numFmtId="0" fontId="18" fillId="12" borderId="1" xfId="1" applyFont="1" applyFill="1" applyBorder="1" applyAlignment="1">
      <alignment horizontal="center" vertical="center"/>
    </xf>
    <xf numFmtId="0" fontId="17" fillId="14" borderId="1" xfId="1" applyFont="1" applyFill="1" applyBorder="1" applyAlignment="1">
      <alignment horizontal="center" vertical="center"/>
    </xf>
    <xf numFmtId="1" fontId="55" fillId="0" borderId="11" xfId="0" applyNumberFormat="1" applyFont="1" applyBorder="1" applyAlignment="1">
      <alignment horizontal="center" vertical="center"/>
    </xf>
    <xf numFmtId="0" fontId="18" fillId="12" borderId="2" xfId="1" applyFont="1" applyFill="1" applyBorder="1" applyAlignment="1">
      <alignment horizontal="center" vertical="center"/>
    </xf>
    <xf numFmtId="0" fontId="18" fillId="14" borderId="4" xfId="1" applyFont="1" applyFill="1" applyBorder="1" applyAlignment="1">
      <alignment horizontal="center" vertical="center"/>
    </xf>
    <xf numFmtId="1" fontId="54" fillId="0" borderId="1" xfId="0" applyNumberFormat="1" applyFont="1" applyBorder="1" applyAlignment="1">
      <alignment horizontal="center" vertical="center"/>
    </xf>
    <xf numFmtId="1" fontId="57" fillId="0" borderId="1" xfId="1" applyNumberFormat="1" applyFont="1" applyBorder="1" applyAlignment="1">
      <alignment horizontal="center" vertical="center" wrapText="1"/>
    </xf>
    <xf numFmtId="1" fontId="55" fillId="0" borderId="5" xfId="0" applyNumberFormat="1" applyFont="1" applyBorder="1" applyAlignment="1">
      <alignment horizontal="center" vertical="center"/>
    </xf>
    <xf numFmtId="1" fontId="55" fillId="0" borderId="1" xfId="1" applyNumberFormat="1" applyFont="1" applyBorder="1" applyAlignment="1">
      <alignment horizontal="center" vertical="center" wrapText="1"/>
    </xf>
    <xf numFmtId="0" fontId="18" fillId="4" borderId="5" xfId="1" applyFont="1" applyFill="1" applyBorder="1" applyAlignment="1">
      <alignment horizontal="center" vertical="center"/>
    </xf>
    <xf numFmtId="164" fontId="58" fillId="0" borderId="1" xfId="0" applyNumberFormat="1" applyFont="1" applyBorder="1" applyAlignment="1">
      <alignment horizontal="center" vertical="center"/>
    </xf>
    <xf numFmtId="0" fontId="18" fillId="13" borderId="1" xfId="1" applyFont="1" applyFill="1" applyBorder="1" applyAlignment="1">
      <alignment horizontal="center" vertical="center"/>
    </xf>
    <xf numFmtId="0" fontId="0" fillId="0" borderId="4" xfId="0" applyBorder="1"/>
    <xf numFmtId="164" fontId="55" fillId="0" borderId="1" xfId="0" applyNumberFormat="1" applyFont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/>
    </xf>
    <xf numFmtId="0" fontId="0" fillId="0" borderId="2" xfId="0" applyBorder="1"/>
    <xf numFmtId="0" fontId="3" fillId="0" borderId="0" xfId="0" applyFont="1" applyAlignment="1">
      <alignment vertical="center"/>
    </xf>
    <xf numFmtId="2" fontId="56" fillId="0" borderId="1" xfId="1" applyNumberFormat="1" applyFont="1" applyBorder="1" applyAlignment="1">
      <alignment horizontal="left" vertical="center" wrapText="1"/>
    </xf>
    <xf numFmtId="164" fontId="61" fillId="0" borderId="1" xfId="1" applyNumberFormat="1" applyFont="1" applyBorder="1" applyAlignment="1">
      <alignment horizontal="center" vertical="center" wrapText="1"/>
    </xf>
    <xf numFmtId="164" fontId="59" fillId="0" borderId="1" xfId="1" applyNumberFormat="1" applyFont="1" applyBorder="1" applyAlignment="1">
      <alignment horizontal="center" vertical="center" wrapText="1"/>
    </xf>
    <xf numFmtId="2" fontId="56" fillId="0" borderId="1" xfId="1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/>
    </xf>
    <xf numFmtId="0" fontId="39" fillId="0" borderId="0" xfId="0" applyFont="1" applyAlignment="1">
      <alignment horizontal="center"/>
    </xf>
    <xf numFmtId="0" fontId="26" fillId="0" borderId="0" xfId="0" applyFont="1" applyAlignment="1">
      <alignment horizontal="center" vertical="center"/>
    </xf>
    <xf numFmtId="0" fontId="18" fillId="18" borderId="2" xfId="1" applyFont="1" applyFill="1" applyBorder="1" applyAlignment="1">
      <alignment horizontal="center" vertical="center"/>
    </xf>
    <xf numFmtId="0" fontId="18" fillId="20" borderId="1" xfId="1" applyFont="1" applyFill="1" applyBorder="1" applyAlignment="1">
      <alignment horizontal="center" vertical="center"/>
    </xf>
    <xf numFmtId="0" fontId="57" fillId="0" borderId="1" xfId="1" applyFont="1" applyBorder="1" applyAlignment="1">
      <alignment horizontal="center" vertical="center" wrapText="1"/>
    </xf>
    <xf numFmtId="0" fontId="19" fillId="18" borderId="5" xfId="1" applyFont="1" applyFill="1" applyBorder="1" applyAlignment="1">
      <alignment horizontal="center" vertical="center"/>
    </xf>
    <xf numFmtId="0" fontId="18" fillId="12" borderId="1" xfId="1" applyFont="1" applyFill="1" applyBorder="1" applyAlignment="1">
      <alignment horizontal="center" vertical="center" wrapText="1"/>
    </xf>
    <xf numFmtId="0" fontId="20" fillId="14" borderId="1" xfId="1" applyFont="1" applyFill="1" applyBorder="1" applyAlignment="1">
      <alignment horizontal="center" vertical="center" wrapText="1"/>
    </xf>
    <xf numFmtId="0" fontId="20" fillId="0" borderId="0" xfId="1" applyFont="1" applyAlignment="1">
      <alignment horizontal="center" vertical="center" wrapText="1"/>
    </xf>
    <xf numFmtId="14" fontId="20" fillId="0" borderId="15" xfId="1" applyNumberFormat="1" applyFont="1" applyBorder="1" applyAlignment="1">
      <alignment horizontal="center" vertical="center"/>
    </xf>
    <xf numFmtId="0" fontId="60" fillId="0" borderId="1" xfId="0" applyFont="1" applyBorder="1" applyAlignment="1">
      <alignment horizontal="center" vertical="center"/>
    </xf>
    <xf numFmtId="0" fontId="29" fillId="18" borderId="1" xfId="0" applyFont="1" applyFill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60" fillId="13" borderId="1" xfId="0" applyFont="1" applyFill="1" applyBorder="1" applyAlignment="1">
      <alignment horizontal="center" vertical="center"/>
    </xf>
    <xf numFmtId="0" fontId="22" fillId="0" borderId="1" xfId="1" applyFont="1" applyBorder="1" applyAlignment="1">
      <alignment horizontal="center" wrapText="1"/>
    </xf>
    <xf numFmtId="0" fontId="18" fillId="0" borderId="6" xfId="1" applyFont="1" applyBorder="1" applyAlignment="1">
      <alignment horizontal="center" vertical="center" wrapText="1"/>
    </xf>
    <xf numFmtId="0" fontId="19" fillId="14" borderId="1" xfId="1" applyFont="1" applyFill="1" applyBorder="1" applyAlignment="1">
      <alignment horizontal="center" vertical="center" wrapText="1"/>
    </xf>
    <xf numFmtId="0" fontId="63" fillId="0" borderId="1" xfId="0" applyFont="1" applyBorder="1" applyAlignment="1">
      <alignment horizontal="center" vertical="center"/>
    </xf>
    <xf numFmtId="0" fontId="63" fillId="0" borderId="6" xfId="0" applyFont="1" applyBorder="1" applyAlignment="1">
      <alignment horizontal="center" vertical="center"/>
    </xf>
    <xf numFmtId="0" fontId="20" fillId="9" borderId="2" xfId="1" applyFont="1" applyFill="1" applyBorder="1" applyAlignment="1">
      <alignment horizontal="center" vertical="center"/>
    </xf>
    <xf numFmtId="0" fontId="20" fillId="16" borderId="5" xfId="1" applyFont="1" applyFill="1" applyBorder="1" applyAlignment="1">
      <alignment horizontal="center" vertical="center"/>
    </xf>
    <xf numFmtId="0" fontId="16" fillId="15" borderId="5" xfId="1" applyFont="1" applyFill="1" applyBorder="1" applyAlignment="1">
      <alignment horizontal="center" vertical="center"/>
    </xf>
    <xf numFmtId="0" fontId="20" fillId="15" borderId="2" xfId="1" applyFont="1" applyFill="1" applyBorder="1" applyAlignment="1">
      <alignment horizontal="center" vertical="center"/>
    </xf>
    <xf numFmtId="0" fontId="18" fillId="20" borderId="5" xfId="1" applyFont="1" applyFill="1" applyBorder="1" applyAlignment="1">
      <alignment vertical="center"/>
    </xf>
    <xf numFmtId="0" fontId="19" fillId="14" borderId="5" xfId="1" applyFont="1" applyFill="1" applyBorder="1" applyAlignment="1">
      <alignment horizontal="center" vertical="center" wrapText="1"/>
    </xf>
    <xf numFmtId="0" fontId="20" fillId="6" borderId="5" xfId="1" applyFont="1" applyFill="1" applyBorder="1" applyAlignment="1">
      <alignment horizontal="center" vertical="center"/>
    </xf>
    <xf numFmtId="0" fontId="62" fillId="6" borderId="1" xfId="1" applyFont="1" applyFill="1" applyBorder="1" applyAlignment="1">
      <alignment horizontal="center" vertical="center"/>
    </xf>
    <xf numFmtId="0" fontId="18" fillId="3" borderId="1" xfId="1" applyFont="1" applyFill="1" applyBorder="1" applyAlignment="1">
      <alignment horizontal="center" vertical="center" wrapText="1"/>
    </xf>
    <xf numFmtId="0" fontId="62" fillId="13" borderId="1" xfId="1" applyFont="1" applyFill="1" applyBorder="1" applyAlignment="1">
      <alignment horizontal="center" vertical="center"/>
    </xf>
    <xf numFmtId="0" fontId="29" fillId="3" borderId="1" xfId="0" applyFont="1" applyFill="1" applyBorder="1" applyAlignment="1">
      <alignment horizontal="center" vertical="center"/>
    </xf>
    <xf numFmtId="0" fontId="65" fillId="22" borderId="1" xfId="0" applyFont="1" applyFill="1" applyBorder="1" applyAlignment="1">
      <alignment vertical="center"/>
    </xf>
    <xf numFmtId="0" fontId="62" fillId="9" borderId="1" xfId="1" applyFont="1" applyFill="1" applyBorder="1" applyAlignment="1">
      <alignment horizontal="left" vertical="center"/>
    </xf>
    <xf numFmtId="0" fontId="54" fillId="2" borderId="1" xfId="0" applyFont="1" applyFill="1" applyBorder="1" applyAlignment="1">
      <alignment horizontal="center" vertical="center"/>
    </xf>
    <xf numFmtId="0" fontId="64" fillId="19" borderId="1" xfId="0" applyFont="1" applyFill="1" applyBorder="1" applyAlignment="1">
      <alignment vertical="center"/>
    </xf>
    <xf numFmtId="0" fontId="67" fillId="4" borderId="1" xfId="0" applyFont="1" applyFill="1" applyBorder="1" applyAlignment="1">
      <alignment horizontal="center" vertical="center"/>
    </xf>
    <xf numFmtId="1" fontId="54" fillId="0" borderId="1" xfId="1" applyNumberFormat="1" applyFont="1" applyBorder="1" applyAlignment="1">
      <alignment horizontal="center" vertical="center" wrapText="1"/>
    </xf>
    <xf numFmtId="0" fontId="19" fillId="20" borderId="1" xfId="1" applyFont="1" applyFill="1" applyBorder="1" applyAlignment="1">
      <alignment horizontal="center" vertical="center" wrapText="1"/>
    </xf>
    <xf numFmtId="0" fontId="19" fillId="18" borderId="1" xfId="1" applyFont="1" applyFill="1" applyBorder="1" applyAlignment="1">
      <alignment horizontal="left" vertical="center"/>
    </xf>
    <xf numFmtId="164" fontId="61" fillId="0" borderId="1" xfId="0" applyNumberFormat="1" applyFont="1" applyBorder="1" applyAlignment="1">
      <alignment horizontal="center" vertical="center"/>
    </xf>
    <xf numFmtId="2" fontId="56" fillId="0" borderId="1" xfId="0" applyNumberFormat="1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56" fillId="0" borderId="1" xfId="0" applyFont="1" applyBorder="1" applyAlignment="1">
      <alignment horizontal="center" vertical="center"/>
    </xf>
    <xf numFmtId="1" fontId="55" fillId="0" borderId="5" xfId="1" applyNumberFormat="1" applyFont="1" applyBorder="1" applyAlignment="1">
      <alignment horizontal="center" vertical="center" wrapText="1"/>
    </xf>
    <xf numFmtId="1" fontId="54" fillId="0" borderId="6" xfId="0" applyNumberFormat="1" applyFont="1" applyBorder="1" applyAlignment="1">
      <alignment horizontal="center" vertical="center"/>
    </xf>
    <xf numFmtId="1" fontId="54" fillId="2" borderId="1" xfId="0" applyNumberFormat="1" applyFont="1" applyFill="1" applyBorder="1" applyAlignment="1">
      <alignment horizontal="center" vertical="center"/>
    </xf>
    <xf numFmtId="0" fontId="60" fillId="9" borderId="1" xfId="0" applyFont="1" applyFill="1" applyBorder="1" applyAlignment="1">
      <alignment horizontal="center" vertical="center"/>
    </xf>
    <xf numFmtId="0" fontId="59" fillId="0" borderId="1" xfId="0" applyFont="1" applyBorder="1" applyAlignment="1">
      <alignment horizontal="center" vertical="center"/>
    </xf>
    <xf numFmtId="164" fontId="59" fillId="0" borderId="1" xfId="0" applyNumberFormat="1" applyFont="1" applyBorder="1" applyAlignment="1">
      <alignment horizontal="center" vertical="center"/>
    </xf>
    <xf numFmtId="2" fontId="56" fillId="0" borderId="2" xfId="0" applyNumberFormat="1" applyFont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2" fillId="18" borderId="1" xfId="1" applyFont="1" applyFill="1" applyBorder="1" applyAlignment="1">
      <alignment horizontal="center" vertical="center"/>
    </xf>
    <xf numFmtId="0" fontId="50" fillId="0" borderId="6" xfId="0" applyFont="1" applyBorder="1" applyAlignment="1">
      <alignment vertical="center" wrapText="1"/>
    </xf>
    <xf numFmtId="164" fontId="54" fillId="0" borderId="1" xfId="0" applyNumberFormat="1" applyFont="1" applyBorder="1" applyAlignment="1">
      <alignment horizontal="center" vertical="center"/>
    </xf>
    <xf numFmtId="0" fontId="5" fillId="0" borderId="0" xfId="0" applyFont="1"/>
    <xf numFmtId="0" fontId="3" fillId="0" borderId="1" xfId="0" applyFont="1" applyBorder="1"/>
    <xf numFmtId="0" fontId="10" fillId="0" borderId="0" xfId="0" applyFont="1"/>
    <xf numFmtId="0" fontId="39" fillId="0" borderId="0" xfId="0" applyFont="1"/>
    <xf numFmtId="0" fontId="68" fillId="0" borderId="0" xfId="0" applyFont="1"/>
    <xf numFmtId="164" fontId="15" fillId="0" borderId="1" xfId="0" applyNumberFormat="1" applyFont="1" applyBorder="1" applyAlignment="1">
      <alignment horizontal="center" vertical="center" wrapText="1"/>
    </xf>
    <xf numFmtId="0" fontId="46" fillId="0" borderId="7" xfId="0" applyFont="1" applyBorder="1" applyAlignment="1">
      <alignment horizontal="center" vertical="center"/>
    </xf>
    <xf numFmtId="0" fontId="44" fillId="0" borderId="0" xfId="0" applyFont="1"/>
    <xf numFmtId="0" fontId="41" fillId="0" borderId="14" xfId="0" applyFont="1" applyBorder="1" applyAlignment="1">
      <alignment horizontal="center" vertical="center" wrapText="1"/>
    </xf>
    <xf numFmtId="2" fontId="33" fillId="0" borderId="6" xfId="1" applyNumberFormat="1" applyFont="1" applyBorder="1" applyAlignment="1">
      <alignment horizontal="left" vertical="center" wrapText="1"/>
    </xf>
    <xf numFmtId="0" fontId="0" fillId="0" borderId="6" xfId="0" applyBorder="1"/>
    <xf numFmtId="1" fontId="35" fillId="0" borderId="6" xfId="1" applyNumberFormat="1" applyFont="1" applyBorder="1" applyAlignment="1">
      <alignment horizontal="left" vertical="center" wrapText="1"/>
    </xf>
    <xf numFmtId="1" fontId="22" fillId="0" borderId="6" xfId="1" applyNumberFormat="1" applyFont="1" applyBorder="1" applyAlignment="1">
      <alignment horizontal="left" vertical="center" wrapText="1"/>
    </xf>
    <xf numFmtId="164" fontId="22" fillId="0" borderId="6" xfId="1" applyNumberFormat="1" applyFont="1" applyBorder="1" applyAlignment="1">
      <alignment horizontal="left" vertical="center" wrapText="1"/>
    </xf>
    <xf numFmtId="164" fontId="33" fillId="0" borderId="6" xfId="1" applyNumberFormat="1" applyFont="1" applyBorder="1" applyAlignment="1">
      <alignment horizontal="left" vertical="center" wrapText="1"/>
    </xf>
    <xf numFmtId="164" fontId="22" fillId="0" borderId="6" xfId="1" applyNumberFormat="1" applyFont="1" applyBorder="1" applyAlignment="1">
      <alignment horizontal="center" vertical="center" wrapText="1"/>
    </xf>
    <xf numFmtId="0" fontId="0" fillId="0" borderId="14" xfId="0" applyBorder="1"/>
    <xf numFmtId="0" fontId="15" fillId="0" borderId="1" xfId="0" applyFont="1" applyBorder="1" applyAlignment="1">
      <alignment vertical="center" wrapText="1"/>
    </xf>
    <xf numFmtId="0" fontId="1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1" fontId="46" fillId="0" borderId="1" xfId="0" applyNumberFormat="1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0" xfId="0" applyFont="1"/>
    <xf numFmtId="0" fontId="7" fillId="0" borderId="7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6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vertical="center" wrapText="1"/>
    </xf>
    <xf numFmtId="1" fontId="54" fillId="0" borderId="4" xfId="0" applyNumberFormat="1" applyFont="1" applyFill="1" applyBorder="1" applyAlignment="1">
      <alignment horizontal="center" vertical="center" wrapText="1"/>
    </xf>
    <xf numFmtId="1" fontId="55" fillId="0" borderId="4" xfId="0" applyNumberFormat="1" applyFont="1" applyFill="1" applyBorder="1" applyAlignment="1">
      <alignment horizontal="center" vertical="center"/>
    </xf>
    <xf numFmtId="1" fontId="55" fillId="0" borderId="1" xfId="1" applyNumberFormat="1" applyFont="1" applyFill="1" applyBorder="1" applyAlignment="1">
      <alignment horizontal="center" vertical="center" wrapText="1"/>
    </xf>
    <xf numFmtId="2" fontId="56" fillId="0" borderId="1" xfId="1" applyNumberFormat="1" applyFont="1" applyFill="1" applyBorder="1" applyAlignment="1">
      <alignment horizontal="left" vertical="center" wrapText="1"/>
    </xf>
    <xf numFmtId="0" fontId="55" fillId="0" borderId="5" xfId="0" applyFont="1" applyFill="1" applyBorder="1" applyAlignment="1">
      <alignment horizontal="center" vertical="center"/>
    </xf>
    <xf numFmtId="0" fontId="54" fillId="0" borderId="1" xfId="0" applyFont="1" applyFill="1" applyBorder="1" applyAlignment="1">
      <alignment horizontal="center" vertical="center"/>
    </xf>
    <xf numFmtId="1" fontId="54" fillId="0" borderId="1" xfId="0" applyNumberFormat="1" applyFont="1" applyFill="1" applyBorder="1" applyAlignment="1">
      <alignment horizontal="center" vertical="center"/>
    </xf>
    <xf numFmtId="1" fontId="55" fillId="0" borderId="5" xfId="0" applyNumberFormat="1" applyFont="1" applyFill="1" applyBorder="1" applyAlignment="1">
      <alignment horizontal="center" vertical="center"/>
    </xf>
    <xf numFmtId="164" fontId="61" fillId="0" borderId="1" xfId="1" applyNumberFormat="1" applyFont="1" applyFill="1" applyBorder="1" applyAlignment="1">
      <alignment horizontal="center" vertical="center" wrapText="1"/>
    </xf>
    <xf numFmtId="164" fontId="55" fillId="0" borderId="1" xfId="0" applyNumberFormat="1" applyFont="1" applyFill="1" applyBorder="1" applyAlignment="1">
      <alignment horizontal="center" vertical="center"/>
    </xf>
    <xf numFmtId="164" fontId="59" fillId="0" borderId="1" xfId="1" applyNumberFormat="1" applyFont="1" applyFill="1" applyBorder="1" applyAlignment="1">
      <alignment horizontal="center" vertical="center" wrapText="1"/>
    </xf>
    <xf numFmtId="2" fontId="56" fillId="0" borderId="1" xfId="1" applyNumberFormat="1" applyFont="1" applyFill="1" applyBorder="1" applyAlignment="1">
      <alignment horizontal="center" vertical="center" wrapText="1"/>
    </xf>
    <xf numFmtId="164" fontId="61" fillId="0" borderId="1" xfId="0" applyNumberFormat="1" applyFont="1" applyFill="1" applyBorder="1" applyAlignment="1">
      <alignment horizontal="center" vertical="center"/>
    </xf>
    <xf numFmtId="2" fontId="56" fillId="0" borderId="1" xfId="0" applyNumberFormat="1" applyFont="1" applyFill="1" applyBorder="1" applyAlignment="1">
      <alignment horizontal="center" vertical="center"/>
    </xf>
    <xf numFmtId="2" fontId="56" fillId="0" borderId="2" xfId="0" applyNumberFormat="1" applyFont="1" applyFill="1" applyBorder="1" applyAlignment="1">
      <alignment horizontal="center" vertical="center"/>
    </xf>
    <xf numFmtId="164" fontId="54" fillId="0" borderId="1" xfId="0" applyNumberFormat="1" applyFont="1" applyFill="1" applyBorder="1" applyAlignment="1">
      <alignment horizontal="center" vertical="center"/>
    </xf>
    <xf numFmtId="164" fontId="59" fillId="0" borderId="1" xfId="0" applyNumberFormat="1" applyFont="1" applyFill="1" applyBorder="1" applyAlignment="1">
      <alignment horizontal="center" vertical="center"/>
    </xf>
    <xf numFmtId="164" fontId="58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0" fillId="9" borderId="2" xfId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7" fillId="0" borderId="0" xfId="0" applyFont="1" applyAlignment="1">
      <alignment vertical="center"/>
    </xf>
    <xf numFmtId="0" fontId="20" fillId="9" borderId="2" xfId="1" applyFont="1" applyFill="1" applyBorder="1" applyAlignment="1">
      <alignment horizontal="center" vertical="center"/>
    </xf>
    <xf numFmtId="0" fontId="55" fillId="2" borderId="5" xfId="0" applyFont="1" applyFill="1" applyBorder="1" applyAlignment="1">
      <alignment horizontal="center" vertical="center"/>
    </xf>
    <xf numFmtId="1" fontId="55" fillId="2" borderId="4" xfId="0" applyNumberFormat="1" applyFont="1" applyFill="1" applyBorder="1" applyAlignment="1">
      <alignment horizontal="center" vertical="center"/>
    </xf>
    <xf numFmtId="1" fontId="55" fillId="2" borderId="5" xfId="0" applyNumberFormat="1" applyFont="1" applyFill="1" applyBorder="1" applyAlignment="1">
      <alignment horizontal="center" vertical="center"/>
    </xf>
    <xf numFmtId="1" fontId="55" fillId="2" borderId="1" xfId="1" applyNumberFormat="1" applyFont="1" applyFill="1" applyBorder="1" applyAlignment="1">
      <alignment horizontal="center" vertical="center" wrapText="1"/>
    </xf>
    <xf numFmtId="164" fontId="61" fillId="2" borderId="1" xfId="1" applyNumberFormat="1" applyFont="1" applyFill="1" applyBorder="1" applyAlignment="1">
      <alignment horizontal="center" vertical="center" wrapText="1"/>
    </xf>
    <xf numFmtId="164" fontId="58" fillId="2" borderId="1" xfId="0" applyNumberFormat="1" applyFont="1" applyFill="1" applyBorder="1" applyAlignment="1">
      <alignment horizontal="center" vertical="center"/>
    </xf>
    <xf numFmtId="164" fontId="59" fillId="2" borderId="1" xfId="1" applyNumberFormat="1" applyFont="1" applyFill="1" applyBorder="1" applyAlignment="1">
      <alignment horizontal="center" vertical="center" wrapText="1"/>
    </xf>
    <xf numFmtId="2" fontId="56" fillId="2" borderId="1" xfId="1" applyNumberFormat="1" applyFont="1" applyFill="1" applyBorder="1" applyAlignment="1">
      <alignment horizontal="center" vertical="center" wrapText="1"/>
    </xf>
    <xf numFmtId="2" fontId="56" fillId="2" borderId="2" xfId="0" applyNumberFormat="1" applyFont="1" applyFill="1" applyBorder="1" applyAlignment="1">
      <alignment horizontal="center" vertical="center"/>
    </xf>
    <xf numFmtId="164" fontId="61" fillId="2" borderId="1" xfId="0" applyNumberFormat="1" applyFont="1" applyFill="1" applyBorder="1" applyAlignment="1">
      <alignment horizontal="center" vertical="center"/>
    </xf>
    <xf numFmtId="2" fontId="56" fillId="2" borderId="1" xfId="0" applyNumberFormat="1" applyFont="1" applyFill="1" applyBorder="1" applyAlignment="1">
      <alignment horizontal="center" vertical="center"/>
    </xf>
    <xf numFmtId="164" fontId="59" fillId="2" borderId="1" xfId="0" applyNumberFormat="1" applyFont="1" applyFill="1" applyBorder="1" applyAlignment="1">
      <alignment horizontal="center" vertical="center"/>
    </xf>
    <xf numFmtId="0" fontId="54" fillId="0" borderId="1" xfId="0" applyFont="1" applyBorder="1" applyAlignment="1">
      <alignment vertical="center" wrapText="1"/>
    </xf>
    <xf numFmtId="0" fontId="54" fillId="0" borderId="4" xfId="0" applyFont="1" applyBorder="1" applyAlignment="1">
      <alignment horizontal="center"/>
    </xf>
    <xf numFmtId="0" fontId="37" fillId="0" borderId="5" xfId="1" applyFont="1" applyBorder="1" applyAlignment="1">
      <alignment horizontal="center" vertical="center"/>
    </xf>
    <xf numFmtId="1" fontId="55" fillId="0" borderId="4" xfId="0" applyNumberFormat="1" applyFont="1" applyFill="1" applyBorder="1" applyAlignment="1">
      <alignment horizontal="center"/>
    </xf>
    <xf numFmtId="1" fontId="55" fillId="0" borderId="1" xfId="0" applyNumberFormat="1" applyFont="1" applyFill="1" applyBorder="1" applyAlignment="1">
      <alignment horizontal="center" vertical="center"/>
    </xf>
    <xf numFmtId="0" fontId="56" fillId="0" borderId="1" xfId="0" applyFont="1" applyFill="1" applyBorder="1" applyAlignment="1">
      <alignment horizontal="center" vertical="center"/>
    </xf>
    <xf numFmtId="0" fontId="59" fillId="0" borderId="1" xfId="0" applyFont="1" applyFill="1" applyBorder="1" applyAlignment="1">
      <alignment horizontal="center" vertical="center"/>
    </xf>
    <xf numFmtId="0" fontId="55" fillId="0" borderId="1" xfId="0" applyFont="1" applyFill="1" applyBorder="1" applyAlignment="1">
      <alignment horizontal="center" vertical="center"/>
    </xf>
    <xf numFmtId="2" fontId="56" fillId="0" borderId="1" xfId="1" applyNumberFormat="1" applyFont="1" applyBorder="1" applyAlignment="1">
      <alignment vertical="center" wrapText="1"/>
    </xf>
    <xf numFmtId="0" fontId="55" fillId="0" borderId="5" xfId="0" applyFont="1" applyBorder="1" applyAlignment="1">
      <alignment vertical="center"/>
    </xf>
    <xf numFmtId="164" fontId="56" fillId="0" borderId="1" xfId="1" applyNumberFormat="1" applyFont="1" applyBorder="1" applyAlignment="1">
      <alignment vertical="center" wrapText="1"/>
    </xf>
    <xf numFmtId="164" fontId="30" fillId="0" borderId="1" xfId="1" applyNumberFormat="1" applyFont="1" applyBorder="1" applyAlignment="1">
      <alignment vertical="center" wrapText="1"/>
    </xf>
    <xf numFmtId="1" fontId="22" fillId="0" borderId="1" xfId="1" applyNumberFormat="1" applyFont="1" applyBorder="1" applyAlignment="1">
      <alignment vertical="center" wrapText="1"/>
    </xf>
    <xf numFmtId="0" fontId="0" fillId="0" borderId="1" xfId="0" applyBorder="1" applyAlignment="1"/>
    <xf numFmtId="2" fontId="56" fillId="0" borderId="1" xfId="1" applyNumberFormat="1" applyFont="1" applyFill="1" applyBorder="1" applyAlignment="1">
      <alignment vertical="center" wrapText="1"/>
    </xf>
    <xf numFmtId="0" fontId="55" fillId="0" borderId="5" xfId="0" applyFont="1" applyFill="1" applyBorder="1" applyAlignment="1">
      <alignment vertical="center"/>
    </xf>
    <xf numFmtId="164" fontId="56" fillId="0" borderId="1" xfId="1" applyNumberFormat="1" applyFont="1" applyFill="1" applyBorder="1" applyAlignment="1">
      <alignment vertical="center" wrapText="1"/>
    </xf>
    <xf numFmtId="164" fontId="30" fillId="0" borderId="1" xfId="1" applyNumberFormat="1" applyFont="1" applyFill="1" applyBorder="1" applyAlignment="1">
      <alignment vertical="center" wrapText="1"/>
    </xf>
    <xf numFmtId="1" fontId="22" fillId="0" borderId="1" xfId="1" applyNumberFormat="1" applyFont="1" applyFill="1" applyBorder="1" applyAlignment="1">
      <alignment vertical="center" wrapText="1"/>
    </xf>
    <xf numFmtId="1" fontId="35" fillId="0" borderId="1" xfId="0" applyNumberFormat="1" applyFont="1" applyBorder="1" applyAlignment="1">
      <alignment vertical="center" wrapText="1"/>
    </xf>
    <xf numFmtId="0" fontId="55" fillId="0" borderId="1" xfId="0" applyFont="1" applyBorder="1" applyAlignment="1">
      <alignment vertical="center"/>
    </xf>
    <xf numFmtId="1" fontId="22" fillId="0" borderId="2" xfId="1" applyNumberFormat="1" applyFont="1" applyBorder="1" applyAlignment="1">
      <alignment vertical="center" wrapText="1"/>
    </xf>
    <xf numFmtId="164" fontId="30" fillId="0" borderId="5" xfId="1" applyNumberFormat="1" applyFont="1" applyBorder="1" applyAlignment="1">
      <alignment vertical="center" wrapText="1"/>
    </xf>
    <xf numFmtId="1" fontId="35" fillId="0" borderId="8" xfId="0" applyNumberFormat="1" applyFont="1" applyBorder="1" applyAlignment="1">
      <alignment vertical="center" wrapText="1"/>
    </xf>
    <xf numFmtId="0" fontId="0" fillId="0" borderId="0" xfId="0" applyAlignment="1"/>
    <xf numFmtId="164" fontId="30" fillId="0" borderId="8" xfId="1" applyNumberFormat="1" applyFont="1" applyBorder="1" applyAlignment="1">
      <alignment vertical="center" wrapText="1"/>
    </xf>
    <xf numFmtId="0" fontId="0" fillId="0" borderId="1" xfId="0" applyFill="1" applyBorder="1" applyAlignment="1"/>
    <xf numFmtId="2" fontId="56" fillId="2" borderId="1" xfId="1" applyNumberFormat="1" applyFont="1" applyFill="1" applyBorder="1" applyAlignment="1">
      <alignment vertical="center" wrapText="1"/>
    </xf>
    <xf numFmtId="0" fontId="0" fillId="2" borderId="1" xfId="0" applyFill="1" applyBorder="1" applyAlignment="1"/>
    <xf numFmtId="164" fontId="36" fillId="0" borderId="1" xfId="1" applyNumberFormat="1" applyFont="1" applyBorder="1" applyAlignment="1">
      <alignment horizontal="center" vertical="center" wrapText="1"/>
    </xf>
    <xf numFmtId="164" fontId="36" fillId="0" borderId="1" xfId="1" applyNumberFormat="1" applyFont="1" applyFill="1" applyBorder="1" applyAlignment="1">
      <alignment horizontal="center" vertical="center" wrapText="1"/>
    </xf>
    <xf numFmtId="164" fontId="36" fillId="2" borderId="1" xfId="1" applyNumberFormat="1" applyFont="1" applyFill="1" applyBorder="1" applyAlignment="1">
      <alignment horizontal="center" vertical="center" wrapText="1"/>
    </xf>
    <xf numFmtId="0" fontId="17" fillId="0" borderId="1" xfId="1" applyFont="1" applyBorder="1" applyAlignment="1">
      <alignment horizontal="center" vertical="center" wrapText="1"/>
    </xf>
    <xf numFmtId="0" fontId="53" fillId="0" borderId="1" xfId="0" applyFont="1" applyBorder="1"/>
    <xf numFmtId="1" fontId="12" fillId="0" borderId="2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54" fillId="0" borderId="1" xfId="0" applyFont="1" applyBorder="1" applyAlignment="1">
      <alignment horizontal="center" vertical="center" wrapText="1"/>
    </xf>
    <xf numFmtId="0" fontId="22" fillId="0" borderId="1" xfId="1" applyFont="1" applyBorder="1" applyAlignment="1">
      <alignment horizontal="center" vertical="center"/>
    </xf>
    <xf numFmtId="0" fontId="27" fillId="0" borderId="0" xfId="0" applyFont="1"/>
    <xf numFmtId="0" fontId="12" fillId="0" borderId="5" xfId="0" applyFont="1" applyBorder="1" applyAlignment="1">
      <alignment horizontal="center" vertical="center" wrapText="1"/>
    </xf>
    <xf numFmtId="0" fontId="46" fillId="0" borderId="0" xfId="0" applyFont="1" applyAlignment="1">
      <alignment horizontal="center" vertical="center"/>
    </xf>
    <xf numFmtId="0" fontId="46" fillId="0" borderId="7" xfId="0" applyFont="1" applyBorder="1" applyAlignment="1">
      <alignment vertical="center"/>
    </xf>
    <xf numFmtId="0" fontId="46" fillId="0" borderId="3" xfId="0" applyFont="1" applyBorder="1" applyAlignment="1">
      <alignment vertical="center"/>
    </xf>
    <xf numFmtId="0" fontId="7" fillId="0" borderId="1" xfId="0" applyFont="1" applyBorder="1"/>
    <xf numFmtId="0" fontId="7" fillId="0" borderId="3" xfId="0" applyFont="1" applyBorder="1" applyAlignment="1">
      <alignment vertical="center"/>
    </xf>
    <xf numFmtId="0" fontId="46" fillId="0" borderId="0" xfId="0" applyFont="1" applyAlignment="1">
      <alignment vertical="center"/>
    </xf>
    <xf numFmtId="1" fontId="42" fillId="0" borderId="1" xfId="0" applyNumberFormat="1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2" fillId="0" borderId="1" xfId="0" applyFont="1" applyBorder="1" applyAlignment="1">
      <alignment vertical="center" wrapText="1"/>
    </xf>
    <xf numFmtId="164" fontId="70" fillId="0" borderId="4" xfId="1" applyNumberFormat="1" applyFont="1" applyBorder="1" applyAlignment="1">
      <alignment horizontal="center" vertical="center" wrapText="1"/>
    </xf>
    <xf numFmtId="164" fontId="70" fillId="0" borderId="1" xfId="1" applyNumberFormat="1" applyFont="1" applyBorder="1" applyAlignment="1">
      <alignment horizontal="center" vertical="center" wrapText="1"/>
    </xf>
    <xf numFmtId="164" fontId="71" fillId="0" borderId="1" xfId="0" applyNumberFormat="1" applyFont="1" applyBorder="1" applyAlignment="1">
      <alignment horizontal="center" vertical="center" wrapText="1"/>
    </xf>
    <xf numFmtId="1" fontId="42" fillId="0" borderId="2" xfId="0" applyNumberFormat="1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/>
    </xf>
    <xf numFmtId="164" fontId="42" fillId="0" borderId="6" xfId="0" applyNumberFormat="1" applyFont="1" applyBorder="1" applyAlignment="1">
      <alignment horizontal="center"/>
    </xf>
    <xf numFmtId="2" fontId="42" fillId="0" borderId="1" xfId="0" applyNumberFormat="1" applyFont="1" applyBorder="1" applyAlignment="1">
      <alignment horizontal="center" vertical="center" wrapText="1"/>
    </xf>
    <xf numFmtId="0" fontId="42" fillId="0" borderId="1" xfId="0" applyFont="1" applyBorder="1" applyAlignment="1">
      <alignment horizontal="center"/>
    </xf>
    <xf numFmtId="164" fontId="42" fillId="0" borderId="4" xfId="0" applyNumberFormat="1" applyFont="1" applyBorder="1" applyAlignment="1">
      <alignment horizontal="center" vertical="center" wrapText="1"/>
    </xf>
    <xf numFmtId="164" fontId="42" fillId="0" borderId="1" xfId="0" applyNumberFormat="1" applyFont="1" applyBorder="1" applyAlignment="1">
      <alignment horizontal="center" vertical="center" wrapText="1"/>
    </xf>
    <xf numFmtId="164" fontId="72" fillId="0" borderId="1" xfId="0" applyNumberFormat="1" applyFont="1" applyBorder="1" applyAlignment="1">
      <alignment horizontal="center" vertical="center" wrapText="1"/>
    </xf>
    <xf numFmtId="164" fontId="42" fillId="0" borderId="1" xfId="0" applyNumberFormat="1" applyFont="1" applyBorder="1" applyAlignment="1">
      <alignment horizontal="center"/>
    </xf>
    <xf numFmtId="0" fontId="72" fillId="0" borderId="1" xfId="0" applyFont="1" applyBorder="1" applyAlignment="1">
      <alignment horizontal="center" vertical="center" wrapText="1"/>
    </xf>
    <xf numFmtId="0" fontId="42" fillId="0" borderId="6" xfId="0" applyFont="1" applyBorder="1"/>
    <xf numFmtId="0" fontId="41" fillId="0" borderId="1" xfId="0" applyFont="1" applyBorder="1" applyAlignment="1">
      <alignment horizontal="center" vertical="center"/>
    </xf>
    <xf numFmtId="0" fontId="73" fillId="0" borderId="4" xfId="0" applyFont="1" applyBorder="1" applyAlignment="1">
      <alignment horizontal="center" vertical="center" wrapText="1"/>
    </xf>
    <xf numFmtId="0" fontId="53" fillId="0" borderId="6" xfId="0" applyFont="1" applyBorder="1"/>
    <xf numFmtId="0" fontId="12" fillId="0" borderId="2" xfId="0" applyFont="1" applyBorder="1" applyAlignment="1">
      <alignment horizontal="center"/>
    </xf>
    <xf numFmtId="164" fontId="56" fillId="0" borderId="1" xfId="1" applyNumberFormat="1" applyFont="1" applyBorder="1" applyAlignment="1">
      <alignment horizontal="center" vertical="center" wrapText="1"/>
    </xf>
    <xf numFmtId="164" fontId="30" fillId="0" borderId="1" xfId="1" applyNumberFormat="1" applyFont="1" applyBorder="1" applyAlignment="1">
      <alignment horizontal="center" vertical="center" wrapText="1"/>
    </xf>
    <xf numFmtId="1" fontId="22" fillId="0" borderId="1" xfId="1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4" fillId="0" borderId="4" xfId="0" applyFont="1" applyBorder="1" applyAlignment="1">
      <alignment horizontal="center" vertical="center"/>
    </xf>
    <xf numFmtId="164" fontId="56" fillId="0" borderId="1" xfId="1" applyNumberFormat="1" applyFont="1" applyFill="1" applyBorder="1" applyAlignment="1">
      <alignment horizontal="center" vertical="center" wrapText="1"/>
    </xf>
    <xf numFmtId="164" fontId="30" fillId="0" borderId="1" xfId="1" applyNumberFormat="1" applyFont="1" applyFill="1" applyBorder="1" applyAlignment="1">
      <alignment horizontal="center" vertical="center" wrapText="1"/>
    </xf>
    <xf numFmtId="1" fontId="22" fillId="0" borderId="1" xfId="1" applyNumberFormat="1" applyFont="1" applyFill="1" applyBorder="1" applyAlignment="1">
      <alignment horizontal="center" vertical="center" wrapText="1"/>
    </xf>
    <xf numFmtId="1" fontId="35" fillId="0" borderId="1" xfId="0" applyNumberFormat="1" applyFont="1" applyBorder="1" applyAlignment="1">
      <alignment horizontal="center" vertical="center" wrapText="1"/>
    </xf>
    <xf numFmtId="1" fontId="22" fillId="0" borderId="2" xfId="1" applyNumberFormat="1" applyFont="1" applyBorder="1" applyAlignment="1">
      <alignment horizontal="center" vertical="center" wrapText="1"/>
    </xf>
    <xf numFmtId="164" fontId="30" fillId="0" borderId="5" xfId="1" applyNumberFormat="1" applyFont="1" applyBorder="1" applyAlignment="1">
      <alignment horizontal="center" vertical="center" wrapText="1"/>
    </xf>
    <xf numFmtId="1" fontId="35" fillId="0" borderId="8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30" fillId="0" borderId="8" xfId="1" applyNumberFormat="1" applyFont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12" fillId="0" borderId="1" xfId="0" applyFont="1" applyFill="1" applyBorder="1" applyAlignment="1">
      <alignment horizontal="left" vertical="center" wrapText="1"/>
    </xf>
    <xf numFmtId="1" fontId="54" fillId="0" borderId="1" xfId="0" applyNumberFormat="1" applyFont="1" applyFill="1" applyBorder="1" applyAlignment="1">
      <alignment horizontal="center" vertical="center" wrapText="1"/>
    </xf>
    <xf numFmtId="0" fontId="50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50" fillId="2" borderId="2" xfId="0" applyFont="1" applyFill="1" applyBorder="1" applyAlignment="1">
      <alignment horizontal="center" vertical="center" wrapText="1"/>
    </xf>
    <xf numFmtId="0" fontId="51" fillId="0" borderId="6" xfId="0" applyFont="1" applyBorder="1" applyAlignment="1">
      <alignment horizontal="center" vertical="center"/>
    </xf>
    <xf numFmtId="0" fontId="12" fillId="27" borderId="2" xfId="0" applyFont="1" applyFill="1" applyBorder="1" applyAlignment="1">
      <alignment horizontal="center" vertical="center"/>
    </xf>
    <xf numFmtId="0" fontId="54" fillId="27" borderId="1" xfId="0" applyFont="1" applyFill="1" applyBorder="1" applyAlignment="1">
      <alignment horizontal="center" vertical="center" wrapText="1"/>
    </xf>
    <xf numFmtId="0" fontId="54" fillId="27" borderId="1" xfId="0" applyFont="1" applyFill="1" applyBorder="1" applyAlignment="1">
      <alignment vertical="center" wrapText="1"/>
    </xf>
    <xf numFmtId="1" fontId="55" fillId="27" borderId="4" xfId="0" applyNumberFormat="1" applyFont="1" applyFill="1" applyBorder="1" applyAlignment="1">
      <alignment horizontal="center" vertical="center"/>
    </xf>
    <xf numFmtId="1" fontId="54" fillId="27" borderId="1" xfId="0" applyNumberFormat="1" applyFont="1" applyFill="1" applyBorder="1" applyAlignment="1">
      <alignment horizontal="center" vertical="center"/>
    </xf>
    <xf numFmtId="164" fontId="36" fillId="27" borderId="1" xfId="1" applyNumberFormat="1" applyFont="1" applyFill="1" applyBorder="1" applyAlignment="1">
      <alignment horizontal="center" vertical="center" wrapText="1"/>
    </xf>
    <xf numFmtId="2" fontId="56" fillId="27" borderId="1" xfId="1" applyNumberFormat="1" applyFont="1" applyFill="1" applyBorder="1" applyAlignment="1">
      <alignment vertical="center" wrapText="1"/>
    </xf>
    <xf numFmtId="0" fontId="0" fillId="27" borderId="1" xfId="0" applyFill="1" applyBorder="1" applyAlignment="1"/>
    <xf numFmtId="0" fontId="55" fillId="27" borderId="5" xfId="0" applyFont="1" applyFill="1" applyBorder="1" applyAlignment="1">
      <alignment horizontal="center" vertical="center"/>
    </xf>
    <xf numFmtId="0" fontId="54" fillId="27" borderId="1" xfId="0" applyFont="1" applyFill="1" applyBorder="1" applyAlignment="1">
      <alignment horizontal="center" vertical="center"/>
    </xf>
    <xf numFmtId="2" fontId="56" fillId="27" borderId="1" xfId="1" applyNumberFormat="1" applyFont="1" applyFill="1" applyBorder="1" applyAlignment="1">
      <alignment horizontal="center" vertical="center" wrapText="1"/>
    </xf>
    <xf numFmtId="2" fontId="56" fillId="27" borderId="1" xfId="1" applyNumberFormat="1" applyFont="1" applyFill="1" applyBorder="1" applyAlignment="1">
      <alignment horizontal="left" vertical="center" wrapText="1"/>
    </xf>
    <xf numFmtId="1" fontId="55" fillId="27" borderId="5" xfId="0" applyNumberFormat="1" applyFont="1" applyFill="1" applyBorder="1" applyAlignment="1">
      <alignment horizontal="center" vertical="center"/>
    </xf>
    <xf numFmtId="1" fontId="55" fillId="27" borderId="1" xfId="1" applyNumberFormat="1" applyFont="1" applyFill="1" applyBorder="1" applyAlignment="1">
      <alignment horizontal="center" vertical="center" wrapText="1"/>
    </xf>
    <xf numFmtId="164" fontId="61" fillId="27" borderId="1" xfId="1" applyNumberFormat="1" applyFont="1" applyFill="1" applyBorder="1" applyAlignment="1">
      <alignment horizontal="center" vertical="center" wrapText="1"/>
    </xf>
    <xf numFmtId="164" fontId="58" fillId="27" borderId="1" xfId="0" applyNumberFormat="1" applyFont="1" applyFill="1" applyBorder="1" applyAlignment="1">
      <alignment horizontal="center" vertical="center"/>
    </xf>
    <xf numFmtId="164" fontId="59" fillId="27" borderId="1" xfId="1" applyNumberFormat="1" applyFont="1" applyFill="1" applyBorder="1" applyAlignment="1">
      <alignment horizontal="center" vertical="center" wrapText="1"/>
    </xf>
    <xf numFmtId="2" fontId="56" fillId="27" borderId="2" xfId="0" applyNumberFormat="1" applyFont="1" applyFill="1" applyBorder="1" applyAlignment="1">
      <alignment horizontal="center" vertical="center"/>
    </xf>
    <xf numFmtId="164" fontId="61" fillId="27" borderId="1" xfId="0" applyNumberFormat="1" applyFont="1" applyFill="1" applyBorder="1" applyAlignment="1">
      <alignment horizontal="center" vertical="center"/>
    </xf>
    <xf numFmtId="2" fontId="56" fillId="27" borderId="1" xfId="0" applyNumberFormat="1" applyFont="1" applyFill="1" applyBorder="1" applyAlignment="1">
      <alignment horizontal="center" vertical="center"/>
    </xf>
    <xf numFmtId="0" fontId="56" fillId="27" borderId="1" xfId="0" applyFont="1" applyFill="1" applyBorder="1" applyAlignment="1">
      <alignment horizontal="center" vertical="center"/>
    </xf>
    <xf numFmtId="164" fontId="54" fillId="27" borderId="1" xfId="0" applyNumberFormat="1" applyFont="1" applyFill="1" applyBorder="1" applyAlignment="1">
      <alignment horizontal="center" vertical="center"/>
    </xf>
    <xf numFmtId="164" fontId="59" fillId="27" borderId="1" xfId="0" applyNumberFormat="1" applyFont="1" applyFill="1" applyBorder="1" applyAlignment="1">
      <alignment horizontal="center" vertical="center"/>
    </xf>
    <xf numFmtId="14" fontId="54" fillId="27" borderId="1" xfId="0" applyNumberFormat="1" applyFont="1" applyFill="1" applyBorder="1" applyAlignment="1">
      <alignment horizontal="center" vertical="center"/>
    </xf>
    <xf numFmtId="1" fontId="61" fillId="0" borderId="1" xfId="1" applyNumberFormat="1" applyFont="1" applyFill="1" applyBorder="1" applyAlignment="1">
      <alignment horizontal="center" vertical="center" wrapText="1"/>
    </xf>
    <xf numFmtId="1" fontId="35" fillId="0" borderId="6" xfId="0" applyNumberFormat="1" applyFont="1" applyBorder="1" applyAlignment="1">
      <alignment horizontal="center" vertical="center" wrapText="1"/>
    </xf>
    <xf numFmtId="164" fontId="30" fillId="0" borderId="6" xfId="1" applyNumberFormat="1" applyFont="1" applyBorder="1" applyAlignment="1">
      <alignment horizontal="center" vertical="center" wrapText="1"/>
    </xf>
    <xf numFmtId="164" fontId="36" fillId="0" borderId="6" xfId="1" applyNumberFormat="1" applyFont="1" applyBorder="1" applyAlignment="1">
      <alignment horizontal="center" vertical="center" wrapText="1"/>
    </xf>
    <xf numFmtId="164" fontId="34" fillId="0" borderId="6" xfId="1" applyNumberFormat="1" applyFont="1" applyBorder="1" applyAlignment="1">
      <alignment horizontal="center" vertical="center" wrapText="1"/>
    </xf>
    <xf numFmtId="2" fontId="33" fillId="0" borderId="6" xfId="1" applyNumberFormat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22" fillId="0" borderId="6" xfId="1" applyFont="1" applyBorder="1" applyAlignment="1">
      <alignment horizontal="center" vertical="center" wrapText="1"/>
    </xf>
    <xf numFmtId="0" fontId="12" fillId="27" borderId="2" xfId="0" applyFont="1" applyFill="1" applyBorder="1" applyAlignment="1">
      <alignment horizontal="center"/>
    </xf>
    <xf numFmtId="0" fontId="0" fillId="27" borderId="1" xfId="0" applyFill="1" applyBorder="1" applyAlignment="1">
      <alignment horizontal="center" vertical="center"/>
    </xf>
    <xf numFmtId="0" fontId="75" fillId="0" borderId="9" xfId="1" applyFont="1" applyBorder="1" applyAlignment="1">
      <alignment horizontal="center" vertical="center"/>
    </xf>
    <xf numFmtId="164" fontId="30" fillId="0" borderId="5" xfId="1" applyNumberFormat="1" applyFont="1" applyBorder="1" applyAlignment="1">
      <alignment horizontal="left" vertical="center" wrapText="1"/>
    </xf>
    <xf numFmtId="1" fontId="22" fillId="0" borderId="5" xfId="1" applyNumberFormat="1" applyFont="1" applyBorder="1" applyAlignment="1">
      <alignment horizontal="left" vertical="center" wrapText="1"/>
    </xf>
    <xf numFmtId="0" fontId="19" fillId="0" borderId="0" xfId="1" applyFont="1" applyBorder="1" applyAlignment="1">
      <alignment horizontal="center" vertical="center" wrapText="1"/>
    </xf>
    <xf numFmtId="0" fontId="55" fillId="0" borderId="1" xfId="1" applyFont="1" applyBorder="1" applyAlignment="1">
      <alignment horizontal="center" vertical="center"/>
    </xf>
    <xf numFmtId="14" fontId="20" fillId="0" borderId="1" xfId="1" applyNumberFormat="1" applyFont="1" applyBorder="1" applyAlignment="1">
      <alignment horizontal="center" vertical="center"/>
    </xf>
    <xf numFmtId="1" fontId="55" fillId="0" borderId="1" xfId="1" applyNumberFormat="1" applyFont="1" applyBorder="1" applyAlignment="1">
      <alignment horizontal="center" vertical="center"/>
    </xf>
    <xf numFmtId="0" fontId="76" fillId="0" borderId="1" xfId="1" applyFont="1" applyBorder="1" applyAlignment="1">
      <alignment horizontal="center" vertical="center"/>
    </xf>
    <xf numFmtId="0" fontId="55" fillId="27" borderId="1" xfId="0" applyFont="1" applyFill="1" applyBorder="1" applyAlignment="1">
      <alignment horizontal="center" vertical="center"/>
    </xf>
    <xf numFmtId="1" fontId="55" fillId="27" borderId="1" xfId="0" applyNumberFormat="1" applyFont="1" applyFill="1" applyBorder="1" applyAlignment="1">
      <alignment horizontal="center" vertical="center"/>
    </xf>
    <xf numFmtId="1" fontId="55" fillId="0" borderId="1" xfId="636" applyNumberFormat="1" applyFont="1" applyBorder="1" applyAlignment="1">
      <alignment horizontal="center" vertical="center"/>
    </xf>
    <xf numFmtId="0" fontId="22" fillId="0" borderId="1" xfId="1" applyFont="1" applyBorder="1" applyAlignment="1">
      <alignment horizontal="center" vertical="center" wrapText="1"/>
    </xf>
    <xf numFmtId="0" fontId="55" fillId="27" borderId="5" xfId="0" applyFont="1" applyFill="1" applyBorder="1" applyAlignment="1">
      <alignment vertical="center"/>
    </xf>
    <xf numFmtId="164" fontId="56" fillId="27" borderId="1" xfId="1" applyNumberFormat="1" applyFont="1" applyFill="1" applyBorder="1" applyAlignment="1">
      <alignment vertical="center" wrapText="1"/>
    </xf>
    <xf numFmtId="164" fontId="30" fillId="27" borderId="1" xfId="1" applyNumberFormat="1" applyFont="1" applyFill="1" applyBorder="1" applyAlignment="1">
      <alignment vertical="center" wrapText="1"/>
    </xf>
    <xf numFmtId="1" fontId="22" fillId="27" borderId="1" xfId="1" applyNumberFormat="1" applyFont="1" applyFill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11" fillId="0" borderId="9" xfId="1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0" fontId="7" fillId="0" borderId="0" xfId="0" applyFont="1" applyAlignment="1"/>
    <xf numFmtId="0" fontId="7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164" fontId="55" fillId="0" borderId="1" xfId="1" applyNumberFormat="1" applyFont="1" applyBorder="1" applyAlignment="1">
      <alignment horizontal="center" vertical="center"/>
    </xf>
    <xf numFmtId="0" fontId="12" fillId="27" borderId="1" xfId="0" applyFont="1" applyFill="1" applyBorder="1" applyAlignment="1">
      <alignment horizontal="center" vertical="center"/>
    </xf>
    <xf numFmtId="1" fontId="55" fillId="27" borderId="4" xfId="0" applyNumberFormat="1" applyFont="1" applyFill="1" applyBorder="1" applyAlignment="1">
      <alignment horizontal="center"/>
    </xf>
    <xf numFmtId="164" fontId="56" fillId="27" borderId="1" xfId="1" applyNumberFormat="1" applyFont="1" applyFill="1" applyBorder="1" applyAlignment="1">
      <alignment horizontal="center" vertical="center" wrapText="1"/>
    </xf>
    <xf numFmtId="164" fontId="30" fillId="27" borderId="1" xfId="1" applyNumberFormat="1" applyFont="1" applyFill="1" applyBorder="1" applyAlignment="1">
      <alignment horizontal="center" vertical="center" wrapText="1"/>
    </xf>
    <xf numFmtId="1" fontId="22" fillId="27" borderId="1" xfId="1" applyNumberFormat="1" applyFont="1" applyFill="1" applyBorder="1" applyAlignment="1">
      <alignment horizontal="center" vertical="center" wrapText="1"/>
    </xf>
    <xf numFmtId="1" fontId="12" fillId="27" borderId="1" xfId="0" applyNumberFormat="1" applyFont="1" applyFill="1" applyBorder="1" applyAlignment="1">
      <alignment horizontal="center" vertical="center"/>
    </xf>
    <xf numFmtId="0" fontId="12" fillId="27" borderId="2" xfId="0" applyFont="1" applyFill="1" applyBorder="1" applyAlignment="1">
      <alignment horizontal="center" vertical="center" wrapText="1"/>
    </xf>
    <xf numFmtId="0" fontId="12" fillId="27" borderId="1" xfId="0" applyFont="1" applyFill="1" applyBorder="1" applyAlignment="1">
      <alignment horizontal="left" vertical="center" wrapText="1"/>
    </xf>
    <xf numFmtId="1" fontId="54" fillId="27" borderId="4" xfId="0" applyNumberFormat="1" applyFont="1" applyFill="1" applyBorder="1" applyAlignment="1">
      <alignment horizontal="center" vertical="center" wrapText="1"/>
    </xf>
    <xf numFmtId="1" fontId="54" fillId="27" borderId="1" xfId="0" applyNumberFormat="1" applyFont="1" applyFill="1" applyBorder="1" applyAlignment="1">
      <alignment horizontal="center" vertical="center" wrapText="1"/>
    </xf>
    <xf numFmtId="164" fontId="55" fillId="27" borderId="1" xfId="0" applyNumberFormat="1" applyFont="1" applyFill="1" applyBorder="1" applyAlignment="1">
      <alignment horizontal="center" vertical="center"/>
    </xf>
    <xf numFmtId="0" fontId="35" fillId="0" borderId="1" xfId="0" applyFont="1" applyBorder="1" applyAlignment="1">
      <alignment horizontal="center"/>
    </xf>
    <xf numFmtId="14" fontId="54" fillId="27" borderId="16" xfId="0" applyNumberFormat="1" applyFont="1" applyFill="1" applyBorder="1" applyAlignment="1">
      <alignment horizontal="center" vertical="center"/>
    </xf>
    <xf numFmtId="0" fontId="54" fillId="0" borderId="1" xfId="0" applyFont="1" applyFill="1" applyBorder="1" applyAlignment="1">
      <alignment horizontal="center" vertical="center" wrapText="1"/>
    </xf>
    <xf numFmtId="0" fontId="54" fillId="0" borderId="1" xfId="0" applyFont="1" applyFill="1" applyBorder="1" applyAlignment="1">
      <alignment vertical="center" wrapText="1"/>
    </xf>
    <xf numFmtId="0" fontId="55" fillId="0" borderId="1" xfId="0" applyFont="1" applyFill="1" applyBorder="1" applyAlignment="1">
      <alignment vertical="center"/>
    </xf>
    <xf numFmtId="1" fontId="22" fillId="0" borderId="2" xfId="1" applyNumberFormat="1" applyFont="1" applyFill="1" applyBorder="1" applyAlignment="1">
      <alignment vertical="center" wrapText="1"/>
    </xf>
    <xf numFmtId="164" fontId="54" fillId="0" borderId="0" xfId="0" applyNumberFormat="1" applyFont="1" applyBorder="1" applyAlignment="1">
      <alignment horizontal="center" vertical="center"/>
    </xf>
    <xf numFmtId="0" fontId="54" fillId="0" borderId="0" xfId="0" applyFont="1" applyBorder="1" applyAlignment="1">
      <alignment horizontal="center" vertical="center"/>
    </xf>
    <xf numFmtId="0" fontId="54" fillId="0" borderId="0" xfId="0" applyFont="1" applyBorder="1" applyAlignment="1">
      <alignment horizontal="center" vertical="center" wrapText="1"/>
    </xf>
    <xf numFmtId="0" fontId="54" fillId="0" borderId="0" xfId="0" applyFont="1" applyBorder="1" applyAlignment="1">
      <alignment vertical="center" wrapText="1"/>
    </xf>
    <xf numFmtId="0" fontId="12" fillId="0" borderId="0" xfId="0" applyFont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6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0" fillId="0" borderId="0" xfId="0" applyAlignment="1">
      <alignment horizontal="center"/>
    </xf>
    <xf numFmtId="0" fontId="39" fillId="0" borderId="0" xfId="0" applyFont="1" applyAlignment="1">
      <alignment horizontal="center"/>
    </xf>
    <xf numFmtId="0" fontId="46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164" fontId="7" fillId="0" borderId="6" xfId="0" applyNumberFormat="1" applyFont="1" applyBorder="1" applyAlignment="1">
      <alignment horizontal="center" vertical="center" wrapText="1"/>
    </xf>
    <xf numFmtId="0" fontId="42" fillId="0" borderId="2" xfId="0" applyFont="1" applyBorder="1" applyAlignment="1">
      <alignment vertical="center" wrapText="1"/>
    </xf>
    <xf numFmtId="0" fontId="0" fillId="0" borderId="0" xfId="0" applyFill="1"/>
    <xf numFmtId="0" fontId="48" fillId="0" borderId="7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6" fillId="0" borderId="0" xfId="0" applyFont="1" applyAlignment="1">
      <alignment horizontal="center" vertical="center"/>
    </xf>
    <xf numFmtId="164" fontId="11" fillId="0" borderId="1" xfId="1" applyNumberFormat="1" applyFont="1" applyBorder="1" applyAlignment="1">
      <alignment horizontal="center" vertical="center" wrapText="1"/>
    </xf>
    <xf numFmtId="164" fontId="78" fillId="0" borderId="1" xfId="0" applyNumberFormat="1" applyFont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/>
    </xf>
    <xf numFmtId="2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164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14" fontId="6" fillId="0" borderId="16" xfId="0" applyNumberFormat="1" applyFont="1" applyFill="1" applyBorder="1" applyAlignment="1">
      <alignment horizontal="center" vertical="center"/>
    </xf>
    <xf numFmtId="14" fontId="6" fillId="0" borderId="1" xfId="0" applyNumberFormat="1" applyFont="1" applyFill="1" applyBorder="1" applyAlignment="1">
      <alignment horizontal="center" vertical="center"/>
    </xf>
    <xf numFmtId="0" fontId="69" fillId="0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center" wrapText="1"/>
    </xf>
    <xf numFmtId="0" fontId="6" fillId="0" borderId="2" xfId="0" applyFont="1" applyFill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52" fillId="0" borderId="1" xfId="0" applyFont="1" applyBorder="1" applyAlignment="1">
      <alignment horizontal="center" vertical="center"/>
    </xf>
    <xf numFmtId="164" fontId="52" fillId="0" borderId="1" xfId="0" applyNumberFormat="1" applyFont="1" applyBorder="1" applyAlignment="1">
      <alignment horizontal="center" vertical="center"/>
    </xf>
    <xf numFmtId="0" fontId="52" fillId="0" borderId="1" xfId="0" applyFont="1" applyFill="1" applyBorder="1" applyAlignment="1">
      <alignment horizontal="center" vertical="center"/>
    </xf>
    <xf numFmtId="164" fontId="52" fillId="0" borderId="1" xfId="0" applyNumberFormat="1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79" fillId="0" borderId="5" xfId="0" applyFont="1" applyBorder="1" applyAlignment="1">
      <alignment horizontal="center" vertical="center" wrapText="1"/>
    </xf>
    <xf numFmtId="0" fontId="79" fillId="0" borderId="1" xfId="0" applyFont="1" applyBorder="1" applyAlignment="1">
      <alignment horizontal="center" vertical="center" wrapText="1"/>
    </xf>
    <xf numFmtId="0" fontId="79" fillId="0" borderId="1" xfId="0" applyFont="1" applyBorder="1" applyAlignment="1">
      <alignment vertical="center" wrapText="1"/>
    </xf>
    <xf numFmtId="0" fontId="52" fillId="0" borderId="2" xfId="0" applyFont="1" applyBorder="1" applyAlignment="1">
      <alignment horizontal="center" vertical="center" wrapText="1"/>
    </xf>
    <xf numFmtId="0" fontId="52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80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52" fillId="2" borderId="2" xfId="0" applyFont="1" applyFill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/>
    </xf>
    <xf numFmtId="1" fontId="52" fillId="0" borderId="1" xfId="0" applyNumberFormat="1" applyFont="1" applyBorder="1" applyAlignment="1">
      <alignment horizontal="center" vertical="center" wrapText="1"/>
    </xf>
    <xf numFmtId="0" fontId="42" fillId="0" borderId="6" xfId="0" applyFont="1" applyBorder="1" applyAlignment="1">
      <alignment horizontal="center" vertical="center"/>
    </xf>
    <xf numFmtId="0" fontId="42" fillId="0" borderId="6" xfId="0" applyFont="1" applyBorder="1" applyAlignment="1">
      <alignment horizontal="center" vertical="center" wrapText="1"/>
    </xf>
    <xf numFmtId="0" fontId="42" fillId="0" borderId="4" xfId="0" applyFont="1" applyBorder="1" applyAlignment="1">
      <alignment horizontal="center" vertical="center"/>
    </xf>
    <xf numFmtId="2" fontId="42" fillId="0" borderId="4" xfId="0" applyNumberFormat="1" applyFont="1" applyBorder="1" applyAlignment="1">
      <alignment horizontal="center" vertical="center" wrapText="1"/>
    </xf>
    <xf numFmtId="164" fontId="42" fillId="0" borderId="12" xfId="0" applyNumberFormat="1" applyFont="1" applyBorder="1" applyAlignment="1">
      <alignment horizontal="center" vertical="center" wrapText="1"/>
    </xf>
    <xf numFmtId="164" fontId="42" fillId="0" borderId="6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64" fontId="52" fillId="0" borderId="1" xfId="0" applyNumberFormat="1" applyFont="1" applyFill="1" applyBorder="1" applyAlignment="1">
      <alignment horizontal="center" vertical="center"/>
    </xf>
    <xf numFmtId="0" fontId="52" fillId="0" borderId="2" xfId="0" applyFont="1" applyFill="1" applyBorder="1" applyAlignment="1">
      <alignment horizontal="center" vertical="center"/>
    </xf>
    <xf numFmtId="164" fontId="52" fillId="0" borderId="2" xfId="0" applyNumberFormat="1" applyFont="1" applyFill="1" applyBorder="1" applyAlignment="1">
      <alignment horizontal="center" vertical="center"/>
    </xf>
    <xf numFmtId="164" fontId="0" fillId="0" borderId="0" xfId="0" applyNumberFormat="1"/>
    <xf numFmtId="164" fontId="41" fillId="0" borderId="1" xfId="0" applyNumberFormat="1" applyFont="1" applyBorder="1" applyAlignment="1">
      <alignment horizontal="center" vertical="center" wrapText="1"/>
    </xf>
    <xf numFmtId="1" fontId="41" fillId="0" borderId="1" xfId="0" applyNumberFormat="1" applyFont="1" applyBorder="1" applyAlignment="1">
      <alignment horizontal="center" vertical="center" wrapText="1"/>
    </xf>
    <xf numFmtId="0" fontId="7" fillId="0" borderId="0" xfId="0" applyFont="1" applyBorder="1"/>
    <xf numFmtId="0" fontId="0" fillId="0" borderId="0" xfId="0" applyBorder="1"/>
    <xf numFmtId="164" fontId="54" fillId="2" borderId="1" xfId="0" applyNumberFormat="1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46" fillId="0" borderId="3" xfId="0" applyFont="1" applyBorder="1" applyAlignment="1">
      <alignment horizontal="left" vertical="center"/>
    </xf>
    <xf numFmtId="0" fontId="81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/>
    </xf>
    <xf numFmtId="0" fontId="13" fillId="0" borderId="4" xfId="0" applyFont="1" applyBorder="1" applyAlignment="1">
      <alignment horizontal="center" vertical="center" wrapText="1"/>
    </xf>
    <xf numFmtId="164" fontId="45" fillId="0" borderId="4" xfId="1" applyNumberFormat="1" applyFont="1" applyBorder="1" applyAlignment="1">
      <alignment horizontal="center" vertical="center" wrapText="1"/>
    </xf>
    <xf numFmtId="2" fontId="46" fillId="0" borderId="4" xfId="0" applyNumberFormat="1" applyFont="1" applyBorder="1" applyAlignment="1">
      <alignment horizontal="center" vertical="center" wrapText="1"/>
    </xf>
    <xf numFmtId="164" fontId="46" fillId="0" borderId="4" xfId="0" applyNumberFormat="1" applyFont="1" applyBorder="1" applyAlignment="1">
      <alignment horizontal="center" vertical="center" wrapText="1"/>
    </xf>
    <xf numFmtId="2" fontId="7" fillId="0" borderId="4" xfId="0" applyNumberFormat="1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/>
    </xf>
    <xf numFmtId="0" fontId="53" fillId="0" borderId="0" xfId="0" applyFont="1" applyBorder="1"/>
    <xf numFmtId="0" fontId="38" fillId="0" borderId="0" xfId="0" applyFont="1" applyBorder="1"/>
    <xf numFmtId="0" fontId="0" fillId="0" borderId="15" xfId="0" applyBorder="1"/>
    <xf numFmtId="0" fontId="0" fillId="2" borderId="0" xfId="0" applyFill="1" applyBorder="1"/>
    <xf numFmtId="164" fontId="54" fillId="0" borderId="5" xfId="0" applyNumberFormat="1" applyFont="1" applyBorder="1" applyAlignment="1">
      <alignment horizontal="center" vertical="center"/>
    </xf>
    <xf numFmtId="0" fontId="82" fillId="0" borderId="1" xfId="0" applyFont="1" applyBorder="1" applyAlignment="1">
      <alignment horizontal="center" vertical="center" wrapText="1"/>
    </xf>
    <xf numFmtId="0" fontId="37" fillId="0" borderId="1" xfId="1" applyFont="1" applyBorder="1" applyAlignment="1">
      <alignment horizontal="center" vertical="center"/>
    </xf>
    <xf numFmtId="0" fontId="83" fillId="0" borderId="1" xfId="0" applyFont="1" applyBorder="1" applyAlignment="1">
      <alignment horizontal="center" vertical="center" wrapText="1"/>
    </xf>
    <xf numFmtId="0" fontId="41" fillId="0" borderId="0" xfId="0" applyFont="1" applyBorder="1" applyAlignment="1">
      <alignment horizontal="center" vertical="center" wrapText="1"/>
    </xf>
    <xf numFmtId="0" fontId="50" fillId="0" borderId="0" xfId="0" applyFont="1" applyBorder="1" applyAlignment="1">
      <alignment vertical="center" wrapText="1"/>
    </xf>
    <xf numFmtId="0" fontId="51" fillId="0" borderId="0" xfId="0" applyFont="1" applyBorder="1" applyAlignment="1">
      <alignment horizontal="center" vertical="center"/>
    </xf>
    <xf numFmtId="1" fontId="35" fillId="0" borderId="0" xfId="0" applyNumberFormat="1" applyFont="1" applyBorder="1" applyAlignment="1">
      <alignment horizontal="center" vertical="center" wrapText="1"/>
    </xf>
    <xf numFmtId="164" fontId="30" fillId="0" borderId="0" xfId="1" applyNumberFormat="1" applyFont="1" applyBorder="1" applyAlignment="1">
      <alignment horizontal="center" vertical="center" wrapText="1"/>
    </xf>
    <xf numFmtId="164" fontId="36" fillId="0" borderId="0" xfId="1" applyNumberFormat="1" applyFont="1" applyBorder="1" applyAlignment="1">
      <alignment horizontal="center" vertical="center" wrapText="1"/>
    </xf>
    <xf numFmtId="164" fontId="34" fillId="0" borderId="0" xfId="1" applyNumberFormat="1" applyFont="1" applyBorder="1" applyAlignment="1">
      <alignment horizontal="center" vertical="center" wrapText="1"/>
    </xf>
    <xf numFmtId="2" fontId="33" fillId="0" borderId="0" xfId="1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22" fillId="0" borderId="0" xfId="1" applyFont="1" applyBorder="1" applyAlignment="1">
      <alignment horizontal="center" vertical="center" wrapText="1"/>
    </xf>
    <xf numFmtId="164" fontId="30" fillId="0" borderId="0" xfId="1" applyNumberFormat="1" applyFont="1" applyBorder="1" applyAlignment="1">
      <alignment horizontal="left" vertical="center" wrapText="1"/>
    </xf>
    <xf numFmtId="164" fontId="34" fillId="0" borderId="0" xfId="1" applyNumberFormat="1" applyFont="1" applyBorder="1" applyAlignment="1">
      <alignment horizontal="left" vertical="center" wrapText="1"/>
    </xf>
    <xf numFmtId="2" fontId="33" fillId="0" borderId="0" xfId="1" applyNumberFormat="1" applyFont="1" applyBorder="1" applyAlignment="1">
      <alignment horizontal="left" vertical="center" wrapText="1"/>
    </xf>
    <xf numFmtId="1" fontId="35" fillId="0" borderId="0" xfId="1" applyNumberFormat="1" applyFont="1" applyBorder="1" applyAlignment="1">
      <alignment horizontal="left" vertical="center" wrapText="1"/>
    </xf>
    <xf numFmtId="1" fontId="22" fillId="0" borderId="0" xfId="1" applyNumberFormat="1" applyFont="1" applyBorder="1" applyAlignment="1">
      <alignment horizontal="left" vertical="center" wrapText="1"/>
    </xf>
    <xf numFmtId="164" fontId="22" fillId="0" borderId="0" xfId="1" applyNumberFormat="1" applyFont="1" applyBorder="1" applyAlignment="1">
      <alignment horizontal="left" vertical="center" wrapText="1"/>
    </xf>
    <xf numFmtId="164" fontId="33" fillId="0" borderId="0" xfId="1" applyNumberFormat="1" applyFont="1" applyBorder="1" applyAlignment="1">
      <alignment horizontal="left" vertical="center" wrapText="1"/>
    </xf>
    <xf numFmtId="164" fontId="22" fillId="0" borderId="0" xfId="1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84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46" fillId="0" borderId="0" xfId="0" applyFont="1" applyBorder="1"/>
    <xf numFmtId="0" fontId="48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8" fillId="0" borderId="0" xfId="0" applyFont="1" applyAlignment="1">
      <alignment horizontal="center" vertical="center"/>
    </xf>
    <xf numFmtId="0" fontId="55" fillId="0" borderId="1" xfId="1" applyFont="1" applyBorder="1" applyAlignment="1">
      <alignment horizontal="center" vertical="center" wrapText="1"/>
    </xf>
    <xf numFmtId="2" fontId="54" fillId="0" borderId="1" xfId="0" applyNumberFormat="1" applyFont="1" applyBorder="1" applyAlignment="1">
      <alignment horizontal="center" vertical="center"/>
    </xf>
    <xf numFmtId="0" fontId="54" fillId="0" borderId="1" xfId="0" applyFont="1" applyBorder="1" applyAlignment="1">
      <alignment vertical="center"/>
    </xf>
    <xf numFmtId="0" fontId="55" fillId="0" borderId="5" xfId="1" applyFont="1" applyBorder="1" applyAlignment="1">
      <alignment horizontal="left" vertical="center"/>
    </xf>
    <xf numFmtId="0" fontId="27" fillId="0" borderId="1" xfId="0" applyFont="1" applyBorder="1"/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8" fillId="0" borderId="0" xfId="0" applyFont="1" applyAlignment="1">
      <alignment horizontal="center"/>
    </xf>
    <xf numFmtId="0" fontId="46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4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9" fillId="0" borderId="0" xfId="0" applyFont="1" applyAlignment="1">
      <alignment horizontal="center"/>
    </xf>
    <xf numFmtId="0" fontId="35" fillId="3" borderId="5" xfId="0" applyFont="1" applyFill="1" applyBorder="1" applyAlignment="1">
      <alignment horizontal="center" vertical="center"/>
    </xf>
    <xf numFmtId="0" fontId="35" fillId="3" borderId="6" xfId="0" applyFont="1" applyFill="1" applyBorder="1" applyAlignment="1">
      <alignment horizontal="center" vertical="center"/>
    </xf>
    <xf numFmtId="9" fontId="64" fillId="11" borderId="5" xfId="0" applyNumberFormat="1" applyFont="1" applyFill="1" applyBorder="1" applyAlignment="1">
      <alignment horizontal="center" vertical="center"/>
    </xf>
    <xf numFmtId="0" fontId="64" fillId="11" borderId="6" xfId="0" applyFont="1" applyFill="1" applyBorder="1" applyAlignment="1">
      <alignment horizontal="center" vertical="center"/>
    </xf>
    <xf numFmtId="0" fontId="62" fillId="10" borderId="1" xfId="1" applyFont="1" applyFill="1" applyBorder="1" applyAlignment="1">
      <alignment horizontal="center" vertical="center" wrapText="1"/>
    </xf>
    <xf numFmtId="9" fontId="20" fillId="11" borderId="1" xfId="1" applyNumberFormat="1" applyFont="1" applyFill="1" applyBorder="1" applyAlignment="1">
      <alignment horizontal="center" vertical="center" wrapText="1"/>
    </xf>
    <xf numFmtId="0" fontId="20" fillId="11" borderId="1" xfId="1" applyFont="1" applyFill="1" applyBorder="1" applyAlignment="1">
      <alignment horizontal="center" vertical="center" wrapText="1"/>
    </xf>
    <xf numFmtId="0" fontId="20" fillId="13" borderId="2" xfId="1" applyFont="1" applyFill="1" applyBorder="1" applyAlignment="1">
      <alignment horizontal="center" vertical="center"/>
    </xf>
    <xf numFmtId="0" fontId="20" fillId="13" borderId="4" xfId="1" applyFont="1" applyFill="1" applyBorder="1" applyAlignment="1">
      <alignment horizontal="center" vertical="center"/>
    </xf>
    <xf numFmtId="0" fontId="62" fillId="10" borderId="5" xfId="1" applyFont="1" applyFill="1" applyBorder="1" applyAlignment="1">
      <alignment horizontal="center" vertical="center" wrapText="1"/>
    </xf>
    <xf numFmtId="0" fontId="62" fillId="10" borderId="6" xfId="1" applyFont="1" applyFill="1" applyBorder="1" applyAlignment="1">
      <alignment horizontal="center" vertical="center" wrapText="1"/>
    </xf>
    <xf numFmtId="9" fontId="35" fillId="11" borderId="5" xfId="0" applyNumberFormat="1" applyFont="1" applyFill="1" applyBorder="1" applyAlignment="1">
      <alignment horizontal="center" vertical="center"/>
    </xf>
    <xf numFmtId="0" fontId="35" fillId="11" borderId="6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9" fontId="20" fillId="11" borderId="5" xfId="1" applyNumberFormat="1" applyFont="1" applyFill="1" applyBorder="1" applyAlignment="1">
      <alignment horizontal="center" vertical="center" wrapText="1"/>
    </xf>
    <xf numFmtId="0" fontId="20" fillId="11" borderId="6" xfId="1" applyFont="1" applyFill="1" applyBorder="1" applyAlignment="1">
      <alignment horizontal="center" vertical="center" wrapText="1"/>
    </xf>
    <xf numFmtId="0" fontId="29" fillId="21" borderId="2" xfId="0" applyFont="1" applyFill="1" applyBorder="1" applyAlignment="1">
      <alignment horizontal="center" vertical="center" wrapText="1"/>
    </xf>
    <xf numFmtId="0" fontId="29" fillId="21" borderId="4" xfId="0" applyFont="1" applyFill="1" applyBorder="1" applyAlignment="1">
      <alignment horizontal="center" vertical="center" wrapText="1"/>
    </xf>
    <xf numFmtId="9" fontId="65" fillId="10" borderId="5" xfId="0" applyNumberFormat="1" applyFont="1" applyFill="1" applyBorder="1" applyAlignment="1">
      <alignment horizontal="center" vertical="center"/>
    </xf>
    <xf numFmtId="0" fontId="65" fillId="10" borderId="6" xfId="0" applyFont="1" applyFill="1" applyBorder="1" applyAlignment="1">
      <alignment horizontal="center" vertical="center"/>
    </xf>
    <xf numFmtId="9" fontId="67" fillId="11" borderId="5" xfId="0" applyNumberFormat="1" applyFont="1" applyFill="1" applyBorder="1" applyAlignment="1">
      <alignment horizontal="center" vertical="center"/>
    </xf>
    <xf numFmtId="0" fontId="67" fillId="11" borderId="6" xfId="0" applyFont="1" applyFill="1" applyBorder="1" applyAlignment="1">
      <alignment horizontal="center" vertical="center"/>
    </xf>
    <xf numFmtId="0" fontId="65" fillId="10" borderId="5" xfId="0" applyFont="1" applyFill="1" applyBorder="1" applyAlignment="1">
      <alignment horizontal="center" vertical="center"/>
    </xf>
    <xf numFmtId="0" fontId="66" fillId="10" borderId="5" xfId="1" applyFont="1" applyFill="1" applyBorder="1" applyAlignment="1">
      <alignment horizontal="center" vertical="center"/>
    </xf>
    <xf numFmtId="0" fontId="66" fillId="10" borderId="6" xfId="1" applyFont="1" applyFill="1" applyBorder="1" applyAlignment="1">
      <alignment horizontal="center" vertical="center"/>
    </xf>
    <xf numFmtId="9" fontId="20" fillId="11" borderId="5" xfId="1" applyNumberFormat="1" applyFont="1" applyFill="1" applyBorder="1" applyAlignment="1">
      <alignment horizontal="center" vertical="center"/>
    </xf>
    <xf numFmtId="0" fontId="20" fillId="11" borderId="6" xfId="1" applyFont="1" applyFill="1" applyBorder="1" applyAlignment="1">
      <alignment horizontal="center" vertical="center"/>
    </xf>
    <xf numFmtId="0" fontId="29" fillId="3" borderId="9" xfId="0" applyFont="1" applyFill="1" applyBorder="1" applyAlignment="1">
      <alignment horizontal="center" vertical="center"/>
    </xf>
    <xf numFmtId="0" fontId="29" fillId="3" borderId="14" xfId="0" applyFont="1" applyFill="1" applyBorder="1" applyAlignment="1">
      <alignment horizontal="center" vertical="center"/>
    </xf>
    <xf numFmtId="9" fontId="20" fillId="11" borderId="11" xfId="1" applyNumberFormat="1" applyFont="1" applyFill="1" applyBorder="1" applyAlignment="1">
      <alignment horizontal="center" vertical="center"/>
    </xf>
    <xf numFmtId="0" fontId="20" fillId="11" borderId="12" xfId="1" applyFont="1" applyFill="1" applyBorder="1" applyAlignment="1">
      <alignment horizontal="center" vertical="center"/>
    </xf>
    <xf numFmtId="0" fontId="62" fillId="10" borderId="5" xfId="1" applyFont="1" applyFill="1" applyBorder="1" applyAlignment="1">
      <alignment horizontal="center" vertical="center"/>
    </xf>
    <xf numFmtId="0" fontId="62" fillId="10" borderId="6" xfId="1" applyFont="1" applyFill="1" applyBorder="1" applyAlignment="1">
      <alignment horizontal="center" vertical="center"/>
    </xf>
    <xf numFmtId="0" fontId="35" fillId="25" borderId="5" xfId="0" applyFont="1" applyFill="1" applyBorder="1" applyAlignment="1">
      <alignment horizontal="center" vertical="center"/>
    </xf>
    <xf numFmtId="0" fontId="35" fillId="25" borderId="8" xfId="0" applyFont="1" applyFill="1" applyBorder="1" applyAlignment="1">
      <alignment horizontal="center" vertical="center"/>
    </xf>
    <xf numFmtId="0" fontId="35" fillId="25" borderId="6" xfId="0" applyFont="1" applyFill="1" applyBorder="1" applyAlignment="1">
      <alignment horizontal="center" vertical="center"/>
    </xf>
    <xf numFmtId="0" fontId="35" fillId="23" borderId="5" xfId="0" applyFont="1" applyFill="1" applyBorder="1" applyAlignment="1">
      <alignment horizontal="center" vertical="center"/>
    </xf>
    <xf numFmtId="0" fontId="35" fillId="23" borderId="8" xfId="0" applyFont="1" applyFill="1" applyBorder="1" applyAlignment="1">
      <alignment horizontal="center" vertical="center"/>
    </xf>
    <xf numFmtId="0" fontId="35" fillId="23" borderId="6" xfId="0" applyFont="1" applyFill="1" applyBorder="1" applyAlignment="1">
      <alignment horizontal="center" vertical="center"/>
    </xf>
    <xf numFmtId="0" fontId="35" fillId="6" borderId="5" xfId="0" applyFont="1" applyFill="1" applyBorder="1" applyAlignment="1">
      <alignment horizontal="center" vertical="center"/>
    </xf>
    <xf numFmtId="0" fontId="35" fillId="6" borderId="8" xfId="0" applyFont="1" applyFill="1" applyBorder="1" applyAlignment="1">
      <alignment horizontal="center" vertical="center"/>
    </xf>
    <xf numFmtId="0" fontId="35" fillId="6" borderId="6" xfId="0" applyFont="1" applyFill="1" applyBorder="1" applyAlignment="1">
      <alignment horizontal="center" vertical="center"/>
    </xf>
    <xf numFmtId="0" fontId="62" fillId="8" borderId="5" xfId="1" applyFont="1" applyFill="1" applyBorder="1" applyAlignment="1">
      <alignment horizontal="center" vertical="center"/>
    </xf>
    <xf numFmtId="0" fontId="62" fillId="8" borderId="6" xfId="1" applyFont="1" applyFill="1" applyBorder="1" applyAlignment="1">
      <alignment horizontal="center" vertical="center"/>
    </xf>
    <xf numFmtId="9" fontId="20" fillId="11" borderId="6" xfId="1" applyNumberFormat="1" applyFont="1" applyFill="1" applyBorder="1" applyAlignment="1">
      <alignment horizontal="center" vertical="center"/>
    </xf>
    <xf numFmtId="0" fontId="18" fillId="5" borderId="2" xfId="1" applyFont="1" applyFill="1" applyBorder="1" applyAlignment="1">
      <alignment horizontal="center" vertical="center"/>
    </xf>
    <xf numFmtId="0" fontId="18" fillId="5" borderId="4" xfId="1" applyFont="1" applyFill="1" applyBorder="1" applyAlignment="1">
      <alignment horizontal="center" vertical="center"/>
    </xf>
    <xf numFmtId="0" fontId="20" fillId="9" borderId="2" xfId="1" applyFont="1" applyFill="1" applyBorder="1" applyAlignment="1">
      <alignment horizontal="center" vertical="center"/>
    </xf>
    <xf numFmtId="0" fontId="20" fillId="9" borderId="4" xfId="1" applyFont="1" applyFill="1" applyBorder="1" applyAlignment="1">
      <alignment horizontal="center" vertical="center"/>
    </xf>
    <xf numFmtId="0" fontId="65" fillId="8" borderId="1" xfId="0" applyFont="1" applyFill="1" applyBorder="1" applyAlignment="1">
      <alignment horizontal="center" vertical="center"/>
    </xf>
    <xf numFmtId="0" fontId="57" fillId="7" borderId="2" xfId="1" applyFont="1" applyFill="1" applyBorder="1" applyAlignment="1">
      <alignment horizontal="center" vertical="center" wrapText="1"/>
    </xf>
    <xf numFmtId="0" fontId="57" fillId="7" borderId="3" xfId="1" applyFont="1" applyFill="1" applyBorder="1" applyAlignment="1">
      <alignment horizontal="center" vertical="center" wrapText="1"/>
    </xf>
    <xf numFmtId="0" fontId="57" fillId="3" borderId="2" xfId="1" applyFont="1" applyFill="1" applyBorder="1" applyAlignment="1">
      <alignment horizontal="center" vertical="center"/>
    </xf>
    <xf numFmtId="0" fontId="57" fillId="3" borderId="3" xfId="1" applyFont="1" applyFill="1" applyBorder="1" applyAlignment="1">
      <alignment horizontal="center" vertical="center"/>
    </xf>
    <xf numFmtId="0" fontId="57" fillId="17" borderId="3" xfId="1" applyFont="1" applyFill="1" applyBorder="1" applyAlignment="1">
      <alignment horizontal="center" vertical="center" wrapText="1"/>
    </xf>
    <xf numFmtId="0" fontId="57" fillId="17" borderId="15" xfId="1" applyFont="1" applyFill="1" applyBorder="1" applyAlignment="1">
      <alignment horizontal="center" vertical="center" wrapText="1"/>
    </xf>
    <xf numFmtId="0" fontId="57" fillId="17" borderId="11" xfId="1" applyFont="1" applyFill="1" applyBorder="1" applyAlignment="1">
      <alignment horizontal="center" vertical="center" wrapText="1"/>
    </xf>
    <xf numFmtId="0" fontId="57" fillId="6" borderId="9" xfId="1" applyFont="1" applyFill="1" applyBorder="1" applyAlignment="1">
      <alignment horizontal="center" vertical="center" wrapText="1"/>
    </xf>
    <xf numFmtId="0" fontId="57" fillId="6" borderId="15" xfId="1" applyFont="1" applyFill="1" applyBorder="1" applyAlignment="1">
      <alignment horizontal="center" vertical="center" wrapText="1"/>
    </xf>
    <xf numFmtId="0" fontId="57" fillId="6" borderId="11" xfId="1" applyFont="1" applyFill="1" applyBorder="1" applyAlignment="1">
      <alignment horizontal="center" vertical="center" wrapText="1"/>
    </xf>
    <xf numFmtId="0" fontId="60" fillId="7" borderId="14" xfId="0" applyFont="1" applyFill="1" applyBorder="1" applyAlignment="1">
      <alignment horizontal="center" vertical="center" wrapText="1"/>
    </xf>
    <xf numFmtId="0" fontId="60" fillId="7" borderId="7" xfId="0" applyFont="1" applyFill="1" applyBorder="1" applyAlignment="1">
      <alignment horizontal="center" vertical="center" wrapText="1"/>
    </xf>
    <xf numFmtId="0" fontId="35" fillId="24" borderId="5" xfId="0" applyFont="1" applyFill="1" applyBorder="1" applyAlignment="1">
      <alignment horizontal="center" vertical="center"/>
    </xf>
    <xf numFmtId="0" fontId="35" fillId="24" borderId="8" xfId="0" applyFont="1" applyFill="1" applyBorder="1" applyAlignment="1">
      <alignment horizontal="center" vertical="center"/>
    </xf>
    <xf numFmtId="0" fontId="35" fillId="24" borderId="6" xfId="0" applyFont="1" applyFill="1" applyBorder="1" applyAlignment="1">
      <alignment horizontal="center" vertical="center"/>
    </xf>
    <xf numFmtId="0" fontId="16" fillId="0" borderId="5" xfId="1" applyFont="1" applyBorder="1" applyAlignment="1">
      <alignment horizontal="center" vertical="center"/>
    </xf>
    <xf numFmtId="0" fontId="16" fillId="0" borderId="8" xfId="1" applyFont="1" applyBorder="1" applyAlignment="1">
      <alignment horizontal="center" vertical="center"/>
    </xf>
    <xf numFmtId="0" fontId="16" fillId="0" borderId="6" xfId="1" applyFont="1" applyBorder="1" applyAlignment="1">
      <alignment horizontal="center" vertical="center"/>
    </xf>
    <xf numFmtId="0" fontId="17" fillId="0" borderId="5" xfId="1" applyFont="1" applyBorder="1" applyAlignment="1">
      <alignment horizontal="center" vertical="center" wrapText="1"/>
    </xf>
    <xf numFmtId="0" fontId="17" fillId="0" borderId="8" xfId="1" applyFont="1" applyBorder="1" applyAlignment="1">
      <alignment horizontal="center" vertical="center" wrapText="1"/>
    </xf>
    <xf numFmtId="0" fontId="17" fillId="0" borderId="6" xfId="1" applyFont="1" applyBorder="1" applyAlignment="1">
      <alignment horizontal="center" vertical="center" wrapText="1"/>
    </xf>
    <xf numFmtId="0" fontId="17" fillId="0" borderId="5" xfId="1" applyFont="1" applyBorder="1" applyAlignment="1">
      <alignment horizontal="center" vertical="center"/>
    </xf>
    <xf numFmtId="0" fontId="17" fillId="0" borderId="8" xfId="1" applyFont="1" applyBorder="1" applyAlignment="1">
      <alignment horizontal="center" vertical="center"/>
    </xf>
    <xf numFmtId="0" fontId="17" fillId="0" borderId="6" xfId="1" applyFont="1" applyBorder="1" applyAlignment="1">
      <alignment horizontal="center" vertical="center"/>
    </xf>
    <xf numFmtId="0" fontId="17" fillId="3" borderId="2" xfId="1" applyFont="1" applyFill="1" applyBorder="1" applyAlignment="1">
      <alignment horizontal="center" vertical="center"/>
    </xf>
    <xf numFmtId="0" fontId="17" fillId="3" borderId="3" xfId="1" applyFont="1" applyFill="1" applyBorder="1" applyAlignment="1">
      <alignment horizontal="center" vertical="center"/>
    </xf>
    <xf numFmtId="0" fontId="17" fillId="3" borderId="4" xfId="1" applyFont="1" applyFill="1" applyBorder="1" applyAlignment="1">
      <alignment horizontal="center" vertical="center"/>
    </xf>
    <xf numFmtId="0" fontId="17" fillId="17" borderId="2" xfId="1" applyFont="1" applyFill="1" applyBorder="1" applyAlignment="1">
      <alignment horizontal="center" vertical="center"/>
    </xf>
    <xf numFmtId="0" fontId="17" fillId="17" borderId="3" xfId="1" applyFont="1" applyFill="1" applyBorder="1" applyAlignment="1">
      <alignment horizontal="center" vertical="center"/>
    </xf>
    <xf numFmtId="0" fontId="17" fillId="17" borderId="4" xfId="1" applyFont="1" applyFill="1" applyBorder="1" applyAlignment="1">
      <alignment horizontal="center" vertical="center"/>
    </xf>
    <xf numFmtId="0" fontId="17" fillId="6" borderId="2" xfId="1" applyFont="1" applyFill="1" applyBorder="1" applyAlignment="1">
      <alignment horizontal="center" vertical="center" wrapText="1"/>
    </xf>
    <xf numFmtId="0" fontId="17" fillId="6" borderId="3" xfId="1" applyFont="1" applyFill="1" applyBorder="1" applyAlignment="1">
      <alignment horizontal="center" vertical="center" wrapText="1"/>
    </xf>
    <xf numFmtId="0" fontId="17" fillId="6" borderId="4" xfId="1" applyFont="1" applyFill="1" applyBorder="1" applyAlignment="1">
      <alignment horizontal="center" vertical="center" wrapText="1"/>
    </xf>
    <xf numFmtId="0" fontId="19" fillId="16" borderId="2" xfId="1" applyFont="1" applyFill="1" applyBorder="1" applyAlignment="1">
      <alignment horizontal="center" vertical="center" wrapText="1"/>
    </xf>
    <xf numFmtId="0" fontId="19" fillId="16" borderId="4" xfId="1" applyFont="1" applyFill="1" applyBorder="1" applyAlignment="1">
      <alignment horizontal="center" vertical="center" wrapText="1"/>
    </xf>
    <xf numFmtId="0" fontId="66" fillId="10" borderId="5" xfId="1" applyFont="1" applyFill="1" applyBorder="1" applyAlignment="1">
      <alignment horizontal="center" vertical="center" wrapText="1"/>
    </xf>
    <xf numFmtId="0" fontId="66" fillId="10" borderId="6" xfId="1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32" fillId="0" borderId="0" xfId="1" applyFont="1" applyAlignment="1">
      <alignment horizontal="left" vertical="center"/>
    </xf>
    <xf numFmtId="0" fontId="7" fillId="0" borderId="0" xfId="0" applyFont="1" applyAlignment="1">
      <alignment vertical="center"/>
    </xf>
    <xf numFmtId="0" fontId="26" fillId="0" borderId="0" xfId="0" applyFont="1" applyAlignment="1">
      <alignment horizontal="left" vertical="center"/>
    </xf>
    <xf numFmtId="0" fontId="6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6" fillId="0" borderId="0" xfId="0" applyFont="1" applyAlignment="1">
      <alignment vertical="center"/>
    </xf>
    <xf numFmtId="0" fontId="0" fillId="24" borderId="5" xfId="0" applyFill="1" applyBorder="1" applyAlignment="1">
      <alignment horizontal="center" vertical="center"/>
    </xf>
    <xf numFmtId="0" fontId="0" fillId="24" borderId="8" xfId="0" applyFill="1" applyBorder="1" applyAlignment="1">
      <alignment horizontal="center" vertical="center"/>
    </xf>
    <xf numFmtId="0" fontId="0" fillId="24" borderId="6" xfId="0" applyFill="1" applyBorder="1" applyAlignment="1">
      <alignment horizontal="center" vertical="center"/>
    </xf>
    <xf numFmtId="0" fontId="0" fillId="26" borderId="5" xfId="0" applyFill="1" applyBorder="1" applyAlignment="1">
      <alignment horizontal="center" vertical="center"/>
    </xf>
    <xf numFmtId="0" fontId="0" fillId="26" borderId="8" xfId="0" applyFill="1" applyBorder="1" applyAlignment="1">
      <alignment horizontal="center" vertical="center"/>
    </xf>
    <xf numFmtId="0" fontId="0" fillId="26" borderId="6" xfId="0" applyFill="1" applyBorder="1" applyAlignment="1">
      <alignment horizontal="center" vertical="center"/>
    </xf>
    <xf numFmtId="0" fontId="0" fillId="23" borderId="5" xfId="0" applyFill="1" applyBorder="1" applyAlignment="1">
      <alignment horizontal="center" vertical="center"/>
    </xf>
    <xf numFmtId="0" fontId="0" fillId="23" borderId="8" xfId="0" applyFill="1" applyBorder="1" applyAlignment="1">
      <alignment horizontal="center" vertical="center"/>
    </xf>
    <xf numFmtId="0" fontId="0" fillId="23" borderId="6" xfId="0" applyFill="1" applyBorder="1" applyAlignment="1">
      <alignment horizontal="center" vertical="center"/>
    </xf>
    <xf numFmtId="0" fontId="60" fillId="7" borderId="2" xfId="0" applyFont="1" applyFill="1" applyBorder="1" applyAlignment="1">
      <alignment horizontal="center" vertical="center" wrapText="1"/>
    </xf>
    <xf numFmtId="0" fontId="60" fillId="7" borderId="3" xfId="0" applyFont="1" applyFill="1" applyBorder="1" applyAlignment="1">
      <alignment horizontal="center" vertical="center" wrapText="1"/>
    </xf>
    <xf numFmtId="0" fontId="60" fillId="7" borderId="4" xfId="0" applyFont="1" applyFill="1" applyBorder="1" applyAlignment="1">
      <alignment horizontal="center" vertical="center" wrapText="1"/>
    </xf>
    <xf numFmtId="0" fontId="60" fillId="10" borderId="5" xfId="0" applyFont="1" applyFill="1" applyBorder="1" applyAlignment="1">
      <alignment horizontal="center" vertical="center"/>
    </xf>
    <xf numFmtId="0" fontId="60" fillId="10" borderId="6" xfId="0" applyFont="1" applyFill="1" applyBorder="1" applyAlignment="1">
      <alignment horizontal="center" vertical="center"/>
    </xf>
    <xf numFmtId="9" fontId="60" fillId="11" borderId="5" xfId="0" applyNumberFormat="1" applyFont="1" applyFill="1" applyBorder="1" applyAlignment="1">
      <alignment horizontal="center" vertical="center"/>
    </xf>
    <xf numFmtId="0" fontId="60" fillId="11" borderId="6" xfId="0" applyFont="1" applyFill="1" applyBorder="1" applyAlignment="1">
      <alignment horizontal="center" vertical="center"/>
    </xf>
    <xf numFmtId="9" fontId="67" fillId="11" borderId="1" xfId="0" applyNumberFormat="1" applyFont="1" applyFill="1" applyBorder="1" applyAlignment="1">
      <alignment horizontal="center" vertical="center"/>
    </xf>
    <xf numFmtId="0" fontId="67" fillId="11" borderId="1" xfId="0" applyFont="1" applyFill="1" applyBorder="1" applyAlignment="1">
      <alignment horizontal="center" vertical="center"/>
    </xf>
    <xf numFmtId="0" fontId="57" fillId="6" borderId="14" xfId="1" applyFont="1" applyFill="1" applyBorder="1" applyAlignment="1">
      <alignment horizontal="center" vertical="center" wrapText="1"/>
    </xf>
    <xf numFmtId="0" fontId="57" fillId="6" borderId="7" xfId="1" applyFont="1" applyFill="1" applyBorder="1" applyAlignment="1">
      <alignment horizontal="center" vertical="center" wrapText="1"/>
    </xf>
    <xf numFmtId="0" fontId="67" fillId="10" borderId="5" xfId="0" applyFont="1" applyFill="1" applyBorder="1" applyAlignment="1">
      <alignment horizontal="center" vertical="center"/>
    </xf>
    <xf numFmtId="0" fontId="67" fillId="10" borderId="6" xfId="0" applyFont="1" applyFill="1" applyBorder="1" applyAlignment="1">
      <alignment horizontal="center" vertical="center"/>
    </xf>
    <xf numFmtId="9" fontId="67" fillId="11" borderId="9" xfId="0" applyNumberFormat="1" applyFont="1" applyFill="1" applyBorder="1" applyAlignment="1">
      <alignment horizontal="center" vertical="center"/>
    </xf>
    <xf numFmtId="0" fontId="67" fillId="11" borderId="14" xfId="0" applyFont="1" applyFill="1" applyBorder="1" applyAlignment="1">
      <alignment horizontal="center" vertical="center"/>
    </xf>
    <xf numFmtId="0" fontId="18" fillId="9" borderId="2" xfId="1" applyFont="1" applyFill="1" applyBorder="1" applyAlignment="1">
      <alignment horizontal="left" vertical="center"/>
    </xf>
    <xf numFmtId="0" fontId="18" fillId="9" borderId="4" xfId="1" applyFont="1" applyFill="1" applyBorder="1" applyAlignment="1">
      <alignment horizontal="left" vertical="center"/>
    </xf>
    <xf numFmtId="9" fontId="64" fillId="11" borderId="1" xfId="0" applyNumberFormat="1" applyFont="1" applyFill="1" applyBorder="1" applyAlignment="1">
      <alignment horizontal="center" vertical="center"/>
    </xf>
    <xf numFmtId="0" fontId="64" fillId="11" borderId="1" xfId="0" applyFont="1" applyFill="1" applyBorder="1" applyAlignment="1">
      <alignment horizontal="center" vertical="center"/>
    </xf>
    <xf numFmtId="0" fontId="65" fillId="21" borderId="2" xfId="0" applyFont="1" applyFill="1" applyBorder="1" applyAlignment="1">
      <alignment horizontal="center" vertical="center" wrapText="1"/>
    </xf>
    <xf numFmtId="0" fontId="65" fillId="21" borderId="4" xfId="0" applyFont="1" applyFill="1" applyBorder="1" applyAlignment="1">
      <alignment horizontal="center" vertical="center" wrapText="1"/>
    </xf>
    <xf numFmtId="9" fontId="65" fillId="10" borderId="1" xfId="0" applyNumberFormat="1" applyFont="1" applyFill="1" applyBorder="1" applyAlignment="1">
      <alignment horizontal="center" vertical="center"/>
    </xf>
    <xf numFmtId="0" fontId="65" fillId="10" borderId="1" xfId="0" applyFont="1" applyFill="1" applyBorder="1" applyAlignment="1">
      <alignment horizontal="center" vertical="center"/>
    </xf>
    <xf numFmtId="9" fontId="20" fillId="11" borderId="6" xfId="1" applyNumberFormat="1" applyFont="1" applyFill="1" applyBorder="1" applyAlignment="1">
      <alignment horizontal="center" vertical="center" wrapText="1"/>
    </xf>
    <xf numFmtId="0" fontId="57" fillId="17" borderId="1" xfId="1" applyFont="1" applyFill="1" applyBorder="1" applyAlignment="1">
      <alignment horizontal="center" vertical="center" wrapText="1"/>
    </xf>
    <xf numFmtId="9" fontId="20" fillId="11" borderId="2" xfId="1" applyNumberFormat="1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31" fillId="0" borderId="0" xfId="0" applyFont="1" applyAlignment="1">
      <alignment horizontal="left" vertical="center"/>
    </xf>
    <xf numFmtId="9" fontId="22" fillId="11" borderId="11" xfId="1" applyNumberFormat="1" applyFont="1" applyFill="1" applyBorder="1" applyAlignment="1">
      <alignment horizontal="center" vertical="center"/>
    </xf>
    <xf numFmtId="0" fontId="22" fillId="11" borderId="12" xfId="1" applyFont="1" applyFill="1" applyBorder="1" applyAlignment="1">
      <alignment horizontal="center" vertical="center"/>
    </xf>
    <xf numFmtId="9" fontId="22" fillId="11" borderId="5" xfId="1" applyNumberFormat="1" applyFont="1" applyFill="1" applyBorder="1" applyAlignment="1">
      <alignment horizontal="center" vertical="center"/>
    </xf>
    <xf numFmtId="0" fontId="22" fillId="11" borderId="6" xfId="1" applyFont="1" applyFill="1" applyBorder="1" applyAlignment="1">
      <alignment horizontal="center" vertical="center"/>
    </xf>
    <xf numFmtId="9" fontId="22" fillId="11" borderId="5" xfId="1" applyNumberFormat="1" applyFont="1" applyFill="1" applyBorder="1" applyAlignment="1">
      <alignment horizontal="center" vertical="center" wrapText="1"/>
    </xf>
    <xf numFmtId="0" fontId="22" fillId="11" borderId="6" xfId="1" applyFont="1" applyFill="1" applyBorder="1" applyAlignment="1">
      <alignment horizontal="center" vertical="center" wrapText="1"/>
    </xf>
    <xf numFmtId="9" fontId="22" fillId="11" borderId="1" xfId="1" applyNumberFormat="1" applyFont="1" applyFill="1" applyBorder="1" applyAlignment="1">
      <alignment horizontal="center" vertical="center" wrapText="1"/>
    </xf>
    <xf numFmtId="0" fontId="22" fillId="11" borderId="1" xfId="1" applyFont="1" applyFill="1" applyBorder="1" applyAlignment="1">
      <alignment horizontal="center" vertical="center" wrapText="1"/>
    </xf>
    <xf numFmtId="0" fontId="19" fillId="16" borderId="9" xfId="1" applyFont="1" applyFill="1" applyBorder="1" applyAlignment="1">
      <alignment horizontal="center" vertical="center" wrapText="1"/>
    </xf>
    <xf numFmtId="0" fontId="19" fillId="16" borderId="11" xfId="1" applyFont="1" applyFill="1" applyBorder="1" applyAlignment="1">
      <alignment horizontal="center" vertical="center" wrapText="1"/>
    </xf>
    <xf numFmtId="0" fontId="74" fillId="7" borderId="2" xfId="1" applyFont="1" applyFill="1" applyBorder="1" applyAlignment="1">
      <alignment horizontal="center" vertical="top" wrapText="1"/>
    </xf>
    <xf numFmtId="0" fontId="74" fillId="7" borderId="3" xfId="1" applyFont="1" applyFill="1" applyBorder="1" applyAlignment="1">
      <alignment horizontal="center" vertical="top" wrapText="1"/>
    </xf>
    <xf numFmtId="0" fontId="74" fillId="7" borderId="4" xfId="1" applyFont="1" applyFill="1" applyBorder="1" applyAlignment="1">
      <alignment horizontal="center" vertical="top" wrapText="1"/>
    </xf>
    <xf numFmtId="0" fontId="57" fillId="3" borderId="4" xfId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9" fontId="22" fillId="11" borderId="6" xfId="1" applyNumberFormat="1" applyFont="1" applyFill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0" fillId="0" borderId="7" xfId="0" applyBorder="1"/>
    <xf numFmtId="0" fontId="7" fillId="0" borderId="15" xfId="0" applyFont="1" applyBorder="1"/>
  </cellXfs>
  <cellStyles count="637">
    <cellStyle name="Followed Hyperlink" xfId="201" builtinId="9" hidden="1"/>
    <cellStyle name="Followed Hyperlink" xfId="209" builtinId="9" hidden="1"/>
    <cellStyle name="Followed Hyperlink" xfId="217" builtinId="9" hidden="1"/>
    <cellStyle name="Followed Hyperlink" xfId="225" builtinId="9" hidden="1"/>
    <cellStyle name="Followed Hyperlink" xfId="233" builtinId="9" hidden="1"/>
    <cellStyle name="Followed Hyperlink" xfId="241" builtinId="9" hidden="1"/>
    <cellStyle name="Followed Hyperlink" xfId="249" builtinId="9" hidden="1"/>
    <cellStyle name="Followed Hyperlink" xfId="257" builtinId="9" hidden="1"/>
    <cellStyle name="Followed Hyperlink" xfId="265" builtinId="9" hidden="1"/>
    <cellStyle name="Followed Hyperlink" xfId="273" builtinId="9" hidden="1"/>
    <cellStyle name="Followed Hyperlink" xfId="281" builtinId="9" hidden="1"/>
    <cellStyle name="Followed Hyperlink" xfId="289" builtinId="9" hidden="1"/>
    <cellStyle name="Followed Hyperlink" xfId="297" builtinId="9" hidden="1"/>
    <cellStyle name="Followed Hyperlink" xfId="305" builtinId="9" hidden="1"/>
    <cellStyle name="Followed Hyperlink" xfId="313" builtinId="9" hidden="1"/>
    <cellStyle name="Followed Hyperlink" xfId="321" builtinId="9" hidden="1"/>
    <cellStyle name="Followed Hyperlink" xfId="329" builtinId="9" hidden="1"/>
    <cellStyle name="Followed Hyperlink" xfId="337" builtinId="9" hidden="1"/>
    <cellStyle name="Followed Hyperlink" xfId="345" builtinId="9" hidden="1"/>
    <cellStyle name="Followed Hyperlink" xfId="353" builtinId="9" hidden="1"/>
    <cellStyle name="Followed Hyperlink" xfId="361" builtinId="9" hidden="1"/>
    <cellStyle name="Followed Hyperlink" xfId="369" builtinId="9" hidden="1"/>
    <cellStyle name="Followed Hyperlink" xfId="377" builtinId="9" hidden="1"/>
    <cellStyle name="Followed Hyperlink" xfId="385" builtinId="9" hidden="1"/>
    <cellStyle name="Followed Hyperlink" xfId="393" builtinId="9" hidden="1"/>
    <cellStyle name="Followed Hyperlink" xfId="401" builtinId="9" hidden="1"/>
    <cellStyle name="Followed Hyperlink" xfId="409" builtinId="9" hidden="1"/>
    <cellStyle name="Followed Hyperlink" xfId="417" builtinId="9" hidden="1"/>
    <cellStyle name="Followed Hyperlink" xfId="425" builtinId="9" hidden="1"/>
    <cellStyle name="Followed Hyperlink" xfId="433" builtinId="9" hidden="1"/>
    <cellStyle name="Followed Hyperlink" xfId="441" builtinId="9" hidden="1"/>
    <cellStyle name="Followed Hyperlink" xfId="449" builtinId="9" hidden="1"/>
    <cellStyle name="Followed Hyperlink" xfId="457" builtinId="9" hidden="1"/>
    <cellStyle name="Followed Hyperlink" xfId="465" builtinId="9" hidden="1"/>
    <cellStyle name="Followed Hyperlink" xfId="473" builtinId="9" hidden="1"/>
    <cellStyle name="Followed Hyperlink" xfId="481" builtinId="9" hidden="1"/>
    <cellStyle name="Followed Hyperlink" xfId="489" builtinId="9" hidden="1"/>
    <cellStyle name="Followed Hyperlink" xfId="497" builtinId="9" hidden="1"/>
    <cellStyle name="Followed Hyperlink" xfId="505" builtinId="9" hidden="1"/>
    <cellStyle name="Followed Hyperlink" xfId="513" builtinId="9" hidden="1"/>
    <cellStyle name="Followed Hyperlink" xfId="521" builtinId="9" hidden="1"/>
    <cellStyle name="Followed Hyperlink" xfId="529" builtinId="9" hidden="1"/>
    <cellStyle name="Followed Hyperlink" xfId="537" builtinId="9" hidden="1"/>
    <cellStyle name="Followed Hyperlink" xfId="545" builtinId="9" hidden="1"/>
    <cellStyle name="Followed Hyperlink" xfId="553" builtinId="9" hidden="1"/>
    <cellStyle name="Followed Hyperlink" xfId="561" builtinId="9" hidden="1"/>
    <cellStyle name="Followed Hyperlink" xfId="569" builtinId="9" hidden="1"/>
    <cellStyle name="Followed Hyperlink" xfId="577" builtinId="9" hidden="1"/>
    <cellStyle name="Followed Hyperlink" xfId="585" builtinId="9" hidden="1"/>
    <cellStyle name="Followed Hyperlink" xfId="593" builtinId="9" hidden="1"/>
    <cellStyle name="Followed Hyperlink" xfId="601" builtinId="9" hidden="1"/>
    <cellStyle name="Followed Hyperlink" xfId="609" builtinId="9" hidden="1"/>
    <cellStyle name="Followed Hyperlink" xfId="617" builtinId="9" hidden="1"/>
    <cellStyle name="Followed Hyperlink" xfId="625" builtinId="9" hidden="1"/>
    <cellStyle name="Followed Hyperlink" xfId="633" builtinId="9" hidden="1"/>
    <cellStyle name="Followed Hyperlink" xfId="631" builtinId="9" hidden="1"/>
    <cellStyle name="Followed Hyperlink" xfId="623" builtinId="9" hidden="1"/>
    <cellStyle name="Followed Hyperlink" xfId="615" builtinId="9" hidden="1"/>
    <cellStyle name="Followed Hyperlink" xfId="607" builtinId="9" hidden="1"/>
    <cellStyle name="Followed Hyperlink" xfId="599" builtinId="9" hidden="1"/>
    <cellStyle name="Followed Hyperlink" xfId="591" builtinId="9" hidden="1"/>
    <cellStyle name="Followed Hyperlink" xfId="583" builtinId="9" hidden="1"/>
    <cellStyle name="Followed Hyperlink" xfId="575" builtinId="9" hidden="1"/>
    <cellStyle name="Followed Hyperlink" xfId="567" builtinId="9" hidden="1"/>
    <cellStyle name="Followed Hyperlink" xfId="559" builtinId="9" hidden="1"/>
    <cellStyle name="Followed Hyperlink" xfId="551" builtinId="9" hidden="1"/>
    <cellStyle name="Followed Hyperlink" xfId="543" builtinId="9" hidden="1"/>
    <cellStyle name="Followed Hyperlink" xfId="535" builtinId="9" hidden="1"/>
    <cellStyle name="Followed Hyperlink" xfId="527" builtinId="9" hidden="1"/>
    <cellStyle name="Followed Hyperlink" xfId="519" builtinId="9" hidden="1"/>
    <cellStyle name="Followed Hyperlink" xfId="511" builtinId="9" hidden="1"/>
    <cellStyle name="Followed Hyperlink" xfId="503" builtinId="9" hidden="1"/>
    <cellStyle name="Followed Hyperlink" xfId="495" builtinId="9" hidden="1"/>
    <cellStyle name="Followed Hyperlink" xfId="487" builtinId="9" hidden="1"/>
    <cellStyle name="Followed Hyperlink" xfId="479" builtinId="9" hidden="1"/>
    <cellStyle name="Followed Hyperlink" xfId="471" builtinId="9" hidden="1"/>
    <cellStyle name="Followed Hyperlink" xfId="463" builtinId="9" hidden="1"/>
    <cellStyle name="Followed Hyperlink" xfId="455" builtinId="9" hidden="1"/>
    <cellStyle name="Followed Hyperlink" xfId="447" builtinId="9" hidden="1"/>
    <cellStyle name="Followed Hyperlink" xfId="439" builtinId="9" hidden="1"/>
    <cellStyle name="Followed Hyperlink" xfId="431" builtinId="9" hidden="1"/>
    <cellStyle name="Followed Hyperlink" xfId="423" builtinId="9" hidden="1"/>
    <cellStyle name="Followed Hyperlink" xfId="415" builtinId="9" hidden="1"/>
    <cellStyle name="Followed Hyperlink" xfId="407" builtinId="9" hidden="1"/>
    <cellStyle name="Followed Hyperlink" xfId="399" builtinId="9" hidden="1"/>
    <cellStyle name="Followed Hyperlink" xfId="391" builtinId="9" hidden="1"/>
    <cellStyle name="Followed Hyperlink" xfId="383" builtinId="9" hidden="1"/>
    <cellStyle name="Followed Hyperlink" xfId="375" builtinId="9" hidden="1"/>
    <cellStyle name="Followed Hyperlink" xfId="367" builtinId="9" hidden="1"/>
    <cellStyle name="Followed Hyperlink" xfId="359" builtinId="9" hidden="1"/>
    <cellStyle name="Followed Hyperlink" xfId="351" builtinId="9" hidden="1"/>
    <cellStyle name="Followed Hyperlink" xfId="343" builtinId="9" hidden="1"/>
    <cellStyle name="Followed Hyperlink" xfId="335" builtinId="9" hidden="1"/>
    <cellStyle name="Followed Hyperlink" xfId="327" builtinId="9" hidden="1"/>
    <cellStyle name="Followed Hyperlink" xfId="319" builtinId="9" hidden="1"/>
    <cellStyle name="Followed Hyperlink" xfId="311" builtinId="9" hidden="1"/>
    <cellStyle name="Followed Hyperlink" xfId="303" builtinId="9" hidden="1"/>
    <cellStyle name="Followed Hyperlink" xfId="295" builtinId="9" hidden="1"/>
    <cellStyle name="Followed Hyperlink" xfId="287" builtinId="9" hidden="1"/>
    <cellStyle name="Followed Hyperlink" xfId="279" builtinId="9" hidden="1"/>
    <cellStyle name="Followed Hyperlink" xfId="271" builtinId="9" hidden="1"/>
    <cellStyle name="Followed Hyperlink" xfId="263" builtinId="9" hidden="1"/>
    <cellStyle name="Followed Hyperlink" xfId="255" builtinId="9" hidden="1"/>
    <cellStyle name="Followed Hyperlink" xfId="247" builtinId="9" hidden="1"/>
    <cellStyle name="Followed Hyperlink" xfId="239" builtinId="9" hidden="1"/>
    <cellStyle name="Followed Hyperlink" xfId="231" builtinId="9" hidden="1"/>
    <cellStyle name="Followed Hyperlink" xfId="223" builtinId="9" hidden="1"/>
    <cellStyle name="Followed Hyperlink" xfId="215" builtinId="9" hidden="1"/>
    <cellStyle name="Followed Hyperlink" xfId="207" builtinId="9" hidden="1"/>
    <cellStyle name="Followed Hyperlink" xfId="199" builtinId="9" hidden="1"/>
    <cellStyle name="Followed Hyperlink" xfId="191" builtinId="9" hidden="1"/>
    <cellStyle name="Followed Hyperlink" xfId="183" builtinId="9" hidden="1"/>
    <cellStyle name="Followed Hyperlink" xfId="175" builtinId="9" hidden="1"/>
    <cellStyle name="Followed Hyperlink" xfId="167" builtinId="9" hidden="1"/>
    <cellStyle name="Followed Hyperlink" xfId="159" builtinId="9" hidden="1"/>
    <cellStyle name="Followed Hyperlink" xfId="151" builtinId="9" hidden="1"/>
    <cellStyle name="Followed Hyperlink" xfId="143" builtinId="9" hidden="1"/>
    <cellStyle name="Followed Hyperlink" xfId="135" builtinId="9" hidden="1"/>
    <cellStyle name="Followed Hyperlink" xfId="127" builtinId="9" hidden="1"/>
    <cellStyle name="Followed Hyperlink" xfId="119" builtinId="9" hidden="1"/>
    <cellStyle name="Followed Hyperlink" xfId="111" builtinId="9" hidden="1"/>
    <cellStyle name="Followed Hyperlink" xfId="103" builtinId="9" hidden="1"/>
    <cellStyle name="Followed Hyperlink" xfId="95" builtinId="9" hidden="1"/>
    <cellStyle name="Followed Hyperlink" xfId="87" builtinId="9" hidden="1"/>
    <cellStyle name="Followed Hyperlink" xfId="79" builtinId="9" hidden="1"/>
    <cellStyle name="Followed Hyperlink" xfId="71" builtinId="9" hidden="1"/>
    <cellStyle name="Followed Hyperlink" xfId="25" builtinId="9" hidden="1"/>
    <cellStyle name="Followed Hyperlink" xfId="29" builtinId="9" hidden="1"/>
    <cellStyle name="Followed Hyperlink" xfId="35" builtinId="9" hidden="1"/>
    <cellStyle name="Followed Hyperlink" xfId="41" builtinId="9" hidden="1"/>
    <cellStyle name="Followed Hyperlink" xfId="45" builtinId="9" hidden="1"/>
    <cellStyle name="Followed Hyperlink" xfId="51" builtinId="9" hidden="1"/>
    <cellStyle name="Followed Hyperlink" xfId="57" builtinId="9" hidden="1"/>
    <cellStyle name="Followed Hyperlink" xfId="61" builtinId="9" hidden="1"/>
    <cellStyle name="Followed Hyperlink" xfId="63" builtinId="9" hidden="1"/>
    <cellStyle name="Followed Hyperlink" xfId="47" builtinId="9" hidden="1"/>
    <cellStyle name="Followed Hyperlink" xfId="31" builtinId="9" hidden="1"/>
    <cellStyle name="Followed Hyperlink" xfId="11" builtinId="9" hidden="1"/>
    <cellStyle name="Followed Hyperlink" xfId="17" builtinId="9" hidden="1"/>
    <cellStyle name="Followed Hyperlink" xfId="21" builtinId="9" hidden="1"/>
    <cellStyle name="Followed Hyperlink" xfId="7" builtinId="9" hidden="1"/>
    <cellStyle name="Followed Hyperlink" xfId="5" builtinId="9" hidden="1"/>
    <cellStyle name="Followed Hyperlink" xfId="3" builtinId="9" hidden="1"/>
    <cellStyle name="Followed Hyperlink" xfId="9" builtinId="9" hidden="1"/>
    <cellStyle name="Followed Hyperlink" xfId="15" builtinId="9" hidden="1"/>
    <cellStyle name="Followed Hyperlink" xfId="19" builtinId="9" hidden="1"/>
    <cellStyle name="Followed Hyperlink" xfId="13" builtinId="9" hidden="1"/>
    <cellStyle name="Followed Hyperlink" xfId="23" builtinId="9" hidden="1"/>
    <cellStyle name="Followed Hyperlink" xfId="39" builtinId="9" hidden="1"/>
    <cellStyle name="Followed Hyperlink" xfId="55" builtinId="9" hidden="1"/>
    <cellStyle name="Followed Hyperlink" xfId="65" builtinId="9" hidden="1"/>
    <cellStyle name="Followed Hyperlink" xfId="59" builtinId="9" hidden="1"/>
    <cellStyle name="Followed Hyperlink" xfId="53" builtinId="9" hidden="1"/>
    <cellStyle name="Followed Hyperlink" xfId="49" builtinId="9" hidden="1"/>
    <cellStyle name="Followed Hyperlink" xfId="43" builtinId="9" hidden="1"/>
    <cellStyle name="Followed Hyperlink" xfId="37" builtinId="9" hidden="1"/>
    <cellStyle name="Followed Hyperlink" xfId="33" builtinId="9" hidden="1"/>
    <cellStyle name="Followed Hyperlink" xfId="27" builtinId="9" hidden="1"/>
    <cellStyle name="Followed Hyperlink" xfId="67" builtinId="9" hidden="1"/>
    <cellStyle name="Followed Hyperlink" xfId="75" builtinId="9" hidden="1"/>
    <cellStyle name="Followed Hyperlink" xfId="83" builtinId="9" hidden="1"/>
    <cellStyle name="Followed Hyperlink" xfId="91" builtinId="9" hidden="1"/>
    <cellStyle name="Followed Hyperlink" xfId="99" builtinId="9" hidden="1"/>
    <cellStyle name="Followed Hyperlink" xfId="107" builtinId="9" hidden="1"/>
    <cellStyle name="Followed Hyperlink" xfId="115" builtinId="9" hidden="1"/>
    <cellStyle name="Followed Hyperlink" xfId="123" builtinId="9" hidden="1"/>
    <cellStyle name="Followed Hyperlink" xfId="131" builtinId="9" hidden="1"/>
    <cellStyle name="Followed Hyperlink" xfId="139" builtinId="9" hidden="1"/>
    <cellStyle name="Followed Hyperlink" xfId="147" builtinId="9" hidden="1"/>
    <cellStyle name="Followed Hyperlink" xfId="155" builtinId="9" hidden="1"/>
    <cellStyle name="Followed Hyperlink" xfId="163" builtinId="9" hidden="1"/>
    <cellStyle name="Followed Hyperlink" xfId="171" builtinId="9" hidden="1"/>
    <cellStyle name="Followed Hyperlink" xfId="179" builtinId="9" hidden="1"/>
    <cellStyle name="Followed Hyperlink" xfId="187" builtinId="9" hidden="1"/>
    <cellStyle name="Followed Hyperlink" xfId="195" builtinId="9" hidden="1"/>
    <cellStyle name="Followed Hyperlink" xfId="203" builtinId="9" hidden="1"/>
    <cellStyle name="Followed Hyperlink" xfId="211" builtinId="9" hidden="1"/>
    <cellStyle name="Followed Hyperlink" xfId="219" builtinId="9" hidden="1"/>
    <cellStyle name="Followed Hyperlink" xfId="227" builtinId="9" hidden="1"/>
    <cellStyle name="Followed Hyperlink" xfId="235" builtinId="9" hidden="1"/>
    <cellStyle name="Followed Hyperlink" xfId="243" builtinId="9" hidden="1"/>
    <cellStyle name="Followed Hyperlink" xfId="251" builtinId="9" hidden="1"/>
    <cellStyle name="Followed Hyperlink" xfId="259" builtinId="9" hidden="1"/>
    <cellStyle name="Followed Hyperlink" xfId="267" builtinId="9" hidden="1"/>
    <cellStyle name="Followed Hyperlink" xfId="275" builtinId="9" hidden="1"/>
    <cellStyle name="Followed Hyperlink" xfId="283" builtinId="9" hidden="1"/>
    <cellStyle name="Followed Hyperlink" xfId="291" builtinId="9" hidden="1"/>
    <cellStyle name="Followed Hyperlink" xfId="299" builtinId="9" hidden="1"/>
    <cellStyle name="Followed Hyperlink" xfId="307" builtinId="9" hidden="1"/>
    <cellStyle name="Followed Hyperlink" xfId="315" builtinId="9" hidden="1"/>
    <cellStyle name="Followed Hyperlink" xfId="323" builtinId="9" hidden="1"/>
    <cellStyle name="Followed Hyperlink" xfId="331" builtinId="9" hidden="1"/>
    <cellStyle name="Followed Hyperlink" xfId="339" builtinId="9" hidden="1"/>
    <cellStyle name="Followed Hyperlink" xfId="347" builtinId="9" hidden="1"/>
    <cellStyle name="Followed Hyperlink" xfId="355" builtinId="9" hidden="1"/>
    <cellStyle name="Followed Hyperlink" xfId="363" builtinId="9" hidden="1"/>
    <cellStyle name="Followed Hyperlink" xfId="371" builtinId="9" hidden="1"/>
    <cellStyle name="Followed Hyperlink" xfId="379" builtinId="9" hidden="1"/>
    <cellStyle name="Followed Hyperlink" xfId="387" builtinId="9" hidden="1"/>
    <cellStyle name="Followed Hyperlink" xfId="395" builtinId="9" hidden="1"/>
    <cellStyle name="Followed Hyperlink" xfId="403" builtinId="9" hidden="1"/>
    <cellStyle name="Followed Hyperlink" xfId="411" builtinId="9" hidden="1"/>
    <cellStyle name="Followed Hyperlink" xfId="419" builtinId="9" hidden="1"/>
    <cellStyle name="Followed Hyperlink" xfId="427" builtinId="9" hidden="1"/>
    <cellStyle name="Followed Hyperlink" xfId="435" builtinId="9" hidden="1"/>
    <cellStyle name="Followed Hyperlink" xfId="443" builtinId="9" hidden="1"/>
    <cellStyle name="Followed Hyperlink" xfId="451" builtinId="9" hidden="1"/>
    <cellStyle name="Followed Hyperlink" xfId="459" builtinId="9" hidden="1"/>
    <cellStyle name="Followed Hyperlink" xfId="467" builtinId="9" hidden="1"/>
    <cellStyle name="Followed Hyperlink" xfId="475" builtinId="9" hidden="1"/>
    <cellStyle name="Followed Hyperlink" xfId="483" builtinId="9" hidden="1"/>
    <cellStyle name="Followed Hyperlink" xfId="491" builtinId="9" hidden="1"/>
    <cellStyle name="Followed Hyperlink" xfId="499" builtinId="9" hidden="1"/>
    <cellStyle name="Followed Hyperlink" xfId="507" builtinId="9" hidden="1"/>
    <cellStyle name="Followed Hyperlink" xfId="515" builtinId="9" hidden="1"/>
    <cellStyle name="Followed Hyperlink" xfId="523" builtinId="9" hidden="1"/>
    <cellStyle name="Followed Hyperlink" xfId="531" builtinId="9" hidden="1"/>
    <cellStyle name="Followed Hyperlink" xfId="539" builtinId="9" hidden="1"/>
    <cellStyle name="Followed Hyperlink" xfId="547" builtinId="9" hidden="1"/>
    <cellStyle name="Followed Hyperlink" xfId="555" builtinId="9" hidden="1"/>
    <cellStyle name="Followed Hyperlink" xfId="563" builtinId="9" hidden="1"/>
    <cellStyle name="Followed Hyperlink" xfId="571" builtinId="9" hidden="1"/>
    <cellStyle name="Followed Hyperlink" xfId="579" builtinId="9" hidden="1"/>
    <cellStyle name="Followed Hyperlink" xfId="587" builtinId="9" hidden="1"/>
    <cellStyle name="Followed Hyperlink" xfId="595" builtinId="9" hidden="1"/>
    <cellStyle name="Followed Hyperlink" xfId="603" builtinId="9" hidden="1"/>
    <cellStyle name="Followed Hyperlink" xfId="611" builtinId="9" hidden="1"/>
    <cellStyle name="Followed Hyperlink" xfId="619" builtinId="9" hidden="1"/>
    <cellStyle name="Followed Hyperlink" xfId="627" builtinId="9" hidden="1"/>
    <cellStyle name="Followed Hyperlink" xfId="635" builtinId="9" hidden="1"/>
    <cellStyle name="Followed Hyperlink" xfId="629" builtinId="9" hidden="1"/>
    <cellStyle name="Followed Hyperlink" xfId="621" builtinId="9" hidden="1"/>
    <cellStyle name="Followed Hyperlink" xfId="613" builtinId="9" hidden="1"/>
    <cellStyle name="Followed Hyperlink" xfId="605" builtinId="9" hidden="1"/>
    <cellStyle name="Followed Hyperlink" xfId="597" builtinId="9" hidden="1"/>
    <cellStyle name="Followed Hyperlink" xfId="589" builtinId="9" hidden="1"/>
    <cellStyle name="Followed Hyperlink" xfId="581" builtinId="9" hidden="1"/>
    <cellStyle name="Followed Hyperlink" xfId="573" builtinId="9" hidden="1"/>
    <cellStyle name="Followed Hyperlink" xfId="565" builtinId="9" hidden="1"/>
    <cellStyle name="Followed Hyperlink" xfId="557" builtinId="9" hidden="1"/>
    <cellStyle name="Followed Hyperlink" xfId="549" builtinId="9" hidden="1"/>
    <cellStyle name="Followed Hyperlink" xfId="541" builtinId="9" hidden="1"/>
    <cellStyle name="Followed Hyperlink" xfId="533" builtinId="9" hidden="1"/>
    <cellStyle name="Followed Hyperlink" xfId="525" builtinId="9" hidden="1"/>
    <cellStyle name="Followed Hyperlink" xfId="517" builtinId="9" hidden="1"/>
    <cellStyle name="Followed Hyperlink" xfId="509" builtinId="9" hidden="1"/>
    <cellStyle name="Followed Hyperlink" xfId="501" builtinId="9" hidden="1"/>
    <cellStyle name="Followed Hyperlink" xfId="493" builtinId="9" hidden="1"/>
    <cellStyle name="Followed Hyperlink" xfId="485" builtinId="9" hidden="1"/>
    <cellStyle name="Followed Hyperlink" xfId="477" builtinId="9" hidden="1"/>
    <cellStyle name="Followed Hyperlink" xfId="469" builtinId="9" hidden="1"/>
    <cellStyle name="Followed Hyperlink" xfId="461" builtinId="9" hidden="1"/>
    <cellStyle name="Followed Hyperlink" xfId="453" builtinId="9" hidden="1"/>
    <cellStyle name="Followed Hyperlink" xfId="445" builtinId="9" hidden="1"/>
    <cellStyle name="Followed Hyperlink" xfId="437" builtinId="9" hidden="1"/>
    <cellStyle name="Followed Hyperlink" xfId="429" builtinId="9" hidden="1"/>
    <cellStyle name="Followed Hyperlink" xfId="421" builtinId="9" hidden="1"/>
    <cellStyle name="Followed Hyperlink" xfId="413" builtinId="9" hidden="1"/>
    <cellStyle name="Followed Hyperlink" xfId="405" builtinId="9" hidden="1"/>
    <cellStyle name="Followed Hyperlink" xfId="397" builtinId="9" hidden="1"/>
    <cellStyle name="Followed Hyperlink" xfId="389" builtinId="9" hidden="1"/>
    <cellStyle name="Followed Hyperlink" xfId="381" builtinId="9" hidden="1"/>
    <cellStyle name="Followed Hyperlink" xfId="373" builtinId="9" hidden="1"/>
    <cellStyle name="Followed Hyperlink" xfId="365" builtinId="9" hidden="1"/>
    <cellStyle name="Followed Hyperlink" xfId="357" builtinId="9" hidden="1"/>
    <cellStyle name="Followed Hyperlink" xfId="349" builtinId="9" hidden="1"/>
    <cellStyle name="Followed Hyperlink" xfId="341" builtinId="9" hidden="1"/>
    <cellStyle name="Followed Hyperlink" xfId="333" builtinId="9" hidden="1"/>
    <cellStyle name="Followed Hyperlink" xfId="325" builtinId="9" hidden="1"/>
    <cellStyle name="Followed Hyperlink" xfId="317" builtinId="9" hidden="1"/>
    <cellStyle name="Followed Hyperlink" xfId="309" builtinId="9" hidden="1"/>
    <cellStyle name="Followed Hyperlink" xfId="301" builtinId="9" hidden="1"/>
    <cellStyle name="Followed Hyperlink" xfId="293" builtinId="9" hidden="1"/>
    <cellStyle name="Followed Hyperlink" xfId="285" builtinId="9" hidden="1"/>
    <cellStyle name="Followed Hyperlink" xfId="277" builtinId="9" hidden="1"/>
    <cellStyle name="Followed Hyperlink" xfId="269" builtinId="9" hidden="1"/>
    <cellStyle name="Followed Hyperlink" xfId="261" builtinId="9" hidden="1"/>
    <cellStyle name="Followed Hyperlink" xfId="253" builtinId="9" hidden="1"/>
    <cellStyle name="Followed Hyperlink" xfId="245" builtinId="9" hidden="1"/>
    <cellStyle name="Followed Hyperlink" xfId="237" builtinId="9" hidden="1"/>
    <cellStyle name="Followed Hyperlink" xfId="229" builtinId="9" hidden="1"/>
    <cellStyle name="Followed Hyperlink" xfId="221" builtinId="9" hidden="1"/>
    <cellStyle name="Followed Hyperlink" xfId="213" builtinId="9" hidden="1"/>
    <cellStyle name="Followed Hyperlink" xfId="205" builtinId="9" hidden="1"/>
    <cellStyle name="Followed Hyperlink" xfId="197" builtinId="9" hidden="1"/>
    <cellStyle name="Followed Hyperlink" xfId="113" builtinId="9" hidden="1"/>
    <cellStyle name="Followed Hyperlink" xfId="117" builtinId="9" hidden="1"/>
    <cellStyle name="Followed Hyperlink" xfId="121" builtinId="9" hidden="1"/>
    <cellStyle name="Followed Hyperlink" xfId="129" builtinId="9" hidden="1"/>
    <cellStyle name="Followed Hyperlink" xfId="133" builtinId="9" hidden="1"/>
    <cellStyle name="Followed Hyperlink" xfId="137" builtinId="9" hidden="1"/>
    <cellStyle name="Followed Hyperlink" xfId="145" builtinId="9" hidden="1"/>
    <cellStyle name="Followed Hyperlink" xfId="149" builtinId="9" hidden="1"/>
    <cellStyle name="Followed Hyperlink" xfId="153" builtinId="9" hidden="1"/>
    <cellStyle name="Followed Hyperlink" xfId="161" builtinId="9" hidden="1"/>
    <cellStyle name="Followed Hyperlink" xfId="165" builtinId="9" hidden="1"/>
    <cellStyle name="Followed Hyperlink" xfId="169" builtinId="9" hidden="1"/>
    <cellStyle name="Followed Hyperlink" xfId="177" builtinId="9" hidden="1"/>
    <cellStyle name="Followed Hyperlink" xfId="181" builtinId="9" hidden="1"/>
    <cellStyle name="Followed Hyperlink" xfId="185" builtinId="9" hidden="1"/>
    <cellStyle name="Followed Hyperlink" xfId="193" builtinId="9" hidden="1"/>
    <cellStyle name="Followed Hyperlink" xfId="189" builtinId="9" hidden="1"/>
    <cellStyle name="Followed Hyperlink" xfId="173" builtinId="9" hidden="1"/>
    <cellStyle name="Followed Hyperlink" xfId="157" builtinId="9" hidden="1"/>
    <cellStyle name="Followed Hyperlink" xfId="141" builtinId="9" hidden="1"/>
    <cellStyle name="Followed Hyperlink" xfId="125" builtinId="9" hidden="1"/>
    <cellStyle name="Followed Hyperlink" xfId="109" builtinId="9" hidden="1"/>
    <cellStyle name="Followed Hyperlink" xfId="85" builtinId="9" hidden="1"/>
    <cellStyle name="Followed Hyperlink" xfId="89" builtinId="9" hidden="1"/>
    <cellStyle name="Followed Hyperlink" xfId="97" builtinId="9" hidden="1"/>
    <cellStyle name="Followed Hyperlink" xfId="101" builtinId="9" hidden="1"/>
    <cellStyle name="Followed Hyperlink" xfId="105" builtinId="9" hidden="1"/>
    <cellStyle name="Followed Hyperlink" xfId="93" builtinId="9" hidden="1"/>
    <cellStyle name="Followed Hyperlink" xfId="77" builtinId="9" hidden="1"/>
    <cellStyle name="Followed Hyperlink" xfId="81" builtinId="9" hidden="1"/>
    <cellStyle name="Followed Hyperlink" xfId="73" builtinId="9" hidden="1"/>
    <cellStyle name="Followed Hyperlink" xfId="69" builtinId="9" hidden="1"/>
    <cellStyle name="Hyperlink" xfId="552" builtinId="8" hidden="1"/>
    <cellStyle name="Hyperlink" xfId="556" builtinId="8" hidden="1"/>
    <cellStyle name="Hyperlink" xfId="560" builtinId="8" hidden="1"/>
    <cellStyle name="Hyperlink" xfId="564" builtinId="8" hidden="1"/>
    <cellStyle name="Hyperlink" xfId="566" builtinId="8" hidden="1"/>
    <cellStyle name="Hyperlink" xfId="572" builtinId="8" hidden="1"/>
    <cellStyle name="Hyperlink" xfId="574" builtinId="8" hidden="1"/>
    <cellStyle name="Hyperlink" xfId="576" builtinId="8" hidden="1"/>
    <cellStyle name="Hyperlink" xfId="582" builtinId="8" hidden="1"/>
    <cellStyle name="Hyperlink" xfId="584" builtinId="8" hidden="1"/>
    <cellStyle name="Hyperlink" xfId="588" builtinId="8" hidden="1"/>
    <cellStyle name="Hyperlink" xfId="592" builtinId="8" hidden="1"/>
    <cellStyle name="Hyperlink" xfId="596" builtinId="8" hidden="1"/>
    <cellStyle name="Hyperlink" xfId="598" builtinId="8" hidden="1"/>
    <cellStyle name="Hyperlink" xfId="604" builtinId="8" hidden="1"/>
    <cellStyle name="Hyperlink" xfId="606" builtinId="8" hidden="1"/>
    <cellStyle name="Hyperlink" xfId="608" builtinId="8" hidden="1"/>
    <cellStyle name="Hyperlink" xfId="614" builtinId="8" hidden="1"/>
    <cellStyle name="Hyperlink" xfId="616" builtinId="8" hidden="1"/>
    <cellStyle name="Hyperlink" xfId="620" builtinId="8" hidden="1"/>
    <cellStyle name="Hyperlink" xfId="624" builtinId="8" hidden="1"/>
    <cellStyle name="Hyperlink" xfId="628" builtinId="8" hidden="1"/>
    <cellStyle name="Hyperlink" xfId="630" builtinId="8" hidden="1"/>
    <cellStyle name="Hyperlink" xfId="634" builtinId="8" hidden="1"/>
    <cellStyle name="Hyperlink" xfId="626" builtinId="8" hidden="1"/>
    <cellStyle name="Hyperlink" xfId="618" builtinId="8" hidden="1"/>
    <cellStyle name="Hyperlink" xfId="602" builtinId="8" hidden="1"/>
    <cellStyle name="Hyperlink" xfId="594" builtinId="8" hidden="1"/>
    <cellStyle name="Hyperlink" xfId="586" builtinId="8" hidden="1"/>
    <cellStyle name="Hyperlink" xfId="570" builtinId="8" hidden="1"/>
    <cellStyle name="Hyperlink" xfId="562" builtinId="8" hidden="1"/>
    <cellStyle name="Hyperlink" xfId="554" builtinId="8" hidden="1"/>
    <cellStyle name="Hyperlink" xfId="538" builtinId="8" hidden="1"/>
    <cellStyle name="Hyperlink" xfId="530" builtinId="8" hidden="1"/>
    <cellStyle name="Hyperlink" xfId="522" builtinId="8" hidden="1"/>
    <cellStyle name="Hyperlink" xfId="506" builtinId="8" hidden="1"/>
    <cellStyle name="Hyperlink" xfId="498" builtinId="8" hidden="1"/>
    <cellStyle name="Hyperlink" xfId="490" builtinId="8" hidden="1"/>
    <cellStyle name="Hyperlink" xfId="474" builtinId="8" hidden="1"/>
    <cellStyle name="Hyperlink" xfId="466" builtinId="8" hidden="1"/>
    <cellStyle name="Hyperlink" xfId="458" builtinId="8" hidden="1"/>
    <cellStyle name="Hyperlink" xfId="442" builtinId="8" hidden="1"/>
    <cellStyle name="Hyperlink" xfId="434" builtinId="8" hidden="1"/>
    <cellStyle name="Hyperlink" xfId="426" builtinId="8" hidden="1"/>
    <cellStyle name="Hyperlink" xfId="410" builtinId="8" hidden="1"/>
    <cellStyle name="Hyperlink" xfId="402" builtinId="8" hidden="1"/>
    <cellStyle name="Hyperlink" xfId="394" builtinId="8" hidden="1"/>
    <cellStyle name="Hyperlink" xfId="378" builtinId="8" hidden="1"/>
    <cellStyle name="Hyperlink" xfId="370" builtinId="8" hidden="1"/>
    <cellStyle name="Hyperlink" xfId="362" builtinId="8" hidden="1"/>
    <cellStyle name="Hyperlink" xfId="346" builtinId="8" hidden="1"/>
    <cellStyle name="Hyperlink" xfId="338" builtinId="8" hidden="1"/>
    <cellStyle name="Hyperlink" xfId="330" builtinId="8" hidden="1"/>
    <cellStyle name="Hyperlink" xfId="314" builtinId="8" hidden="1"/>
    <cellStyle name="Hyperlink" xfId="306" builtinId="8" hidden="1"/>
    <cellStyle name="Hyperlink" xfId="298" builtinId="8" hidden="1"/>
    <cellStyle name="Hyperlink" xfId="282" builtinId="8" hidden="1"/>
    <cellStyle name="Hyperlink" xfId="274" builtinId="8" hidden="1"/>
    <cellStyle name="Hyperlink" xfId="266" builtinId="8" hidden="1"/>
    <cellStyle name="Hyperlink" xfId="250" builtinId="8" hidden="1"/>
    <cellStyle name="Hyperlink" xfId="242" builtinId="8" hidden="1"/>
    <cellStyle name="Hyperlink" xfId="102" builtinId="8" hidden="1"/>
    <cellStyle name="Hyperlink" xfId="108" builtinId="8" hidden="1"/>
    <cellStyle name="Hyperlink" xfId="110" builtinId="8" hidden="1"/>
    <cellStyle name="Hyperlink" xfId="112" builtinId="8" hidden="1"/>
    <cellStyle name="Hyperlink" xfId="116" builtinId="8" hidden="1"/>
    <cellStyle name="Hyperlink" xfId="118" builtinId="8" hidden="1"/>
    <cellStyle name="Hyperlink" xfId="120" builtinId="8" hidden="1"/>
    <cellStyle name="Hyperlink" xfId="126" builtinId="8" hidden="1"/>
    <cellStyle name="Hyperlink" xfId="128" builtinId="8" hidden="1"/>
    <cellStyle name="Hyperlink" xfId="130" builtinId="8" hidden="1"/>
    <cellStyle name="Hyperlink" xfId="134" builtinId="8" hidden="1"/>
    <cellStyle name="Hyperlink" xfId="136" builtinId="8" hidden="1"/>
    <cellStyle name="Hyperlink" xfId="140" builtinId="8" hidden="1"/>
    <cellStyle name="Hyperlink" xfId="144" builtinId="8" hidden="1"/>
    <cellStyle name="Hyperlink" xfId="146" builtinId="8" hidden="1"/>
    <cellStyle name="Hyperlink" xfId="148" builtinId="8" hidden="1"/>
    <cellStyle name="Hyperlink" xfId="152" builtinId="8" hidden="1"/>
    <cellStyle name="Hyperlink" xfId="156" builtinId="8" hidden="1"/>
    <cellStyle name="Hyperlink" xfId="158" builtinId="8" hidden="1"/>
    <cellStyle name="Hyperlink" xfId="162" builtinId="8" hidden="1"/>
    <cellStyle name="Hyperlink" xfId="164" builtinId="8" hidden="1"/>
    <cellStyle name="Hyperlink" xfId="166" builtinId="8" hidden="1"/>
    <cellStyle name="Hyperlink" xfId="172" builtinId="8" hidden="1"/>
    <cellStyle name="Hyperlink" xfId="174" builtinId="8" hidden="1"/>
    <cellStyle name="Hyperlink" xfId="176" builtinId="8" hidden="1"/>
    <cellStyle name="Hyperlink" xfId="180" builtinId="8" hidden="1"/>
    <cellStyle name="Hyperlink" xfId="182" builtinId="8" hidden="1"/>
    <cellStyle name="Hyperlink" xfId="184" builtinId="8" hidden="1"/>
    <cellStyle name="Hyperlink" xfId="190" builtinId="8" hidden="1"/>
    <cellStyle name="Hyperlink" xfId="192" builtinId="8" hidden="1"/>
    <cellStyle name="Hyperlink" xfId="194" builtinId="8" hidden="1"/>
    <cellStyle name="Hyperlink" xfId="198" builtinId="8" hidden="1"/>
    <cellStyle name="Hyperlink" xfId="200" builtinId="8" hidden="1"/>
    <cellStyle name="Hyperlink" xfId="204" builtinId="8" hidden="1"/>
    <cellStyle name="Hyperlink" xfId="208" builtinId="8" hidden="1"/>
    <cellStyle name="Hyperlink" xfId="210" builtinId="8" hidden="1"/>
    <cellStyle name="Hyperlink" xfId="212" builtinId="8" hidden="1"/>
    <cellStyle name="Hyperlink" xfId="216" builtinId="8" hidden="1"/>
    <cellStyle name="Hyperlink" xfId="220" builtinId="8" hidden="1"/>
    <cellStyle name="Hyperlink" xfId="222" builtinId="8" hidden="1"/>
    <cellStyle name="Hyperlink" xfId="226" builtinId="8" hidden="1"/>
    <cellStyle name="Hyperlink" xfId="228" builtinId="8" hidden="1"/>
    <cellStyle name="Hyperlink" xfId="230" builtinId="8" hidden="1"/>
    <cellStyle name="Hyperlink" xfId="236" builtinId="8" hidden="1"/>
    <cellStyle name="Hyperlink" xfId="234" builtinId="8" hidden="1"/>
    <cellStyle name="Hyperlink" xfId="218" builtinId="8" hidden="1"/>
    <cellStyle name="Hyperlink" xfId="186" builtinId="8" hidden="1"/>
    <cellStyle name="Hyperlink" xfId="170" builtinId="8" hidden="1"/>
    <cellStyle name="Hyperlink" xfId="154" builtinId="8" hidden="1"/>
    <cellStyle name="Hyperlink" xfId="122" builtinId="8" hidden="1"/>
    <cellStyle name="Hyperlink" xfId="106" builtinId="8" hidden="1"/>
    <cellStyle name="Hyperlink" xfId="48" builtinId="8" hidden="1"/>
    <cellStyle name="Hyperlink" xfId="52" builtinId="8" hidden="1"/>
    <cellStyle name="Hyperlink" xfId="54" builtinId="8" hidden="1"/>
    <cellStyle name="Hyperlink" xfId="56" builtinId="8" hidden="1"/>
    <cellStyle name="Hyperlink" xfId="62" builtinId="8" hidden="1"/>
    <cellStyle name="Hyperlink" xfId="64" builtinId="8" hidden="1"/>
    <cellStyle name="Hyperlink" xfId="66" builtinId="8" hidden="1"/>
    <cellStyle name="Hyperlink" xfId="70" builtinId="8" hidden="1"/>
    <cellStyle name="Hyperlink" xfId="72" builtinId="8" hidden="1"/>
    <cellStyle name="Hyperlink" xfId="74" builtinId="8" hidden="1"/>
    <cellStyle name="Hyperlink" xfId="78" builtinId="8" hidden="1"/>
    <cellStyle name="Hyperlink" xfId="80" builtinId="8" hidden="1"/>
    <cellStyle name="Hyperlink" xfId="82" builtinId="8" hidden="1"/>
    <cellStyle name="Hyperlink" xfId="86" builtinId="8" hidden="1"/>
    <cellStyle name="Hyperlink" xfId="88" builtinId="8" hidden="1"/>
    <cellStyle name="Hyperlink" xfId="92" builtinId="8" hidden="1"/>
    <cellStyle name="Hyperlink" xfId="96" builtinId="8" hidden="1"/>
    <cellStyle name="Hyperlink" xfId="98" builtinId="8" hidden="1"/>
    <cellStyle name="Hyperlink" xfId="100" builtinId="8" hidden="1"/>
    <cellStyle name="Hyperlink" xfId="58" builtinId="8" hidden="1"/>
    <cellStyle name="Hyperlink" xfId="24" builtinId="8" hidden="1"/>
    <cellStyle name="Hyperlink" xfId="26" builtinId="8" hidden="1"/>
    <cellStyle name="Hyperlink" xfId="30" builtinId="8" hidden="1"/>
    <cellStyle name="Hyperlink" xfId="32" builtinId="8" hidden="1"/>
    <cellStyle name="Hyperlink" xfId="34" builtinId="8" hidden="1"/>
    <cellStyle name="Hyperlink" xfId="38" builtinId="8" hidden="1"/>
    <cellStyle name="Hyperlink" xfId="40" builtinId="8" hidden="1"/>
    <cellStyle name="Hyperlink" xfId="42" builtinId="8" hidden="1"/>
    <cellStyle name="Hyperlink" xfId="46" builtinId="8" hidden="1"/>
    <cellStyle name="Hyperlink" xfId="12" builtinId="8" hidden="1"/>
    <cellStyle name="Hyperlink" xfId="14" builtinId="8" hidden="1"/>
    <cellStyle name="Hyperlink" xfId="18" builtinId="8" hidden="1"/>
    <cellStyle name="Hyperlink" xfId="20" builtinId="8" hidden="1"/>
    <cellStyle name="Hyperlink" xfId="22" builtinId="8" hidden="1"/>
    <cellStyle name="Hyperlink" xfId="8" builtinId="8" hidden="1"/>
    <cellStyle name="Hyperlink" xfId="10" builtinId="8" hidden="1"/>
    <cellStyle name="Hyperlink" xfId="4" builtinId="8" hidden="1"/>
    <cellStyle name="Hyperlink" xfId="2" builtinId="8" hidden="1"/>
    <cellStyle name="Hyperlink" xfId="6" builtinId="8" hidden="1"/>
    <cellStyle name="Hyperlink" xfId="16" builtinId="8" hidden="1"/>
    <cellStyle name="Hyperlink" xfId="44" builtinId="8" hidden="1"/>
    <cellStyle name="Hyperlink" xfId="36" builtinId="8" hidden="1"/>
    <cellStyle name="Hyperlink" xfId="28" builtinId="8" hidden="1"/>
    <cellStyle name="Hyperlink" xfId="90" builtinId="8" hidden="1"/>
    <cellStyle name="Hyperlink" xfId="94" builtinId="8" hidden="1"/>
    <cellStyle name="Hyperlink" xfId="84" builtinId="8" hidden="1"/>
    <cellStyle name="Hyperlink" xfId="76" builtinId="8" hidden="1"/>
    <cellStyle name="Hyperlink" xfId="68" builtinId="8" hidden="1"/>
    <cellStyle name="Hyperlink" xfId="60" builtinId="8" hidden="1"/>
    <cellStyle name="Hyperlink" xfId="50" builtinId="8" hidden="1"/>
    <cellStyle name="Hyperlink" xfId="138" builtinId="8" hidden="1"/>
    <cellStyle name="Hyperlink" xfId="202" builtinId="8" hidden="1"/>
    <cellStyle name="Hyperlink" xfId="232" builtinId="8" hidden="1"/>
    <cellStyle name="Hyperlink" xfId="224" builtinId="8" hidden="1"/>
    <cellStyle name="Hyperlink" xfId="214" builtinId="8" hidden="1"/>
    <cellStyle name="Hyperlink" xfId="206" builtinId="8" hidden="1"/>
    <cellStyle name="Hyperlink" xfId="196" builtinId="8" hidden="1"/>
    <cellStyle name="Hyperlink" xfId="188" builtinId="8" hidden="1"/>
    <cellStyle name="Hyperlink" xfId="178" builtinId="8" hidden="1"/>
    <cellStyle name="Hyperlink" xfId="168" builtinId="8" hidden="1"/>
    <cellStyle name="Hyperlink" xfId="160" builtinId="8" hidden="1"/>
    <cellStyle name="Hyperlink" xfId="150" builtinId="8" hidden="1"/>
    <cellStyle name="Hyperlink" xfId="142" builtinId="8" hidden="1"/>
    <cellStyle name="Hyperlink" xfId="132" builtinId="8" hidden="1"/>
    <cellStyle name="Hyperlink" xfId="124" builtinId="8" hidden="1"/>
    <cellStyle name="Hyperlink" xfId="114" builtinId="8" hidden="1"/>
    <cellStyle name="Hyperlink" xfId="104" builtinId="8" hidden="1"/>
    <cellStyle name="Hyperlink" xfId="258" builtinId="8" hidden="1"/>
    <cellStyle name="Hyperlink" xfId="290" builtinId="8" hidden="1"/>
    <cellStyle name="Hyperlink" xfId="322" builtinId="8" hidden="1"/>
    <cellStyle name="Hyperlink" xfId="354" builtinId="8" hidden="1"/>
    <cellStyle name="Hyperlink" xfId="386" builtinId="8" hidden="1"/>
    <cellStyle name="Hyperlink" xfId="418" builtinId="8" hidden="1"/>
    <cellStyle name="Hyperlink" xfId="450" builtinId="8" hidden="1"/>
    <cellStyle name="Hyperlink" xfId="482" builtinId="8" hidden="1"/>
    <cellStyle name="Hyperlink" xfId="514" builtinId="8" hidden="1"/>
    <cellStyle name="Hyperlink" xfId="546" builtinId="8" hidden="1"/>
    <cellStyle name="Hyperlink" xfId="578" builtinId="8" hidden="1"/>
    <cellStyle name="Hyperlink" xfId="610" builtinId="8" hidden="1"/>
    <cellStyle name="Hyperlink" xfId="632" builtinId="8" hidden="1"/>
    <cellStyle name="Hyperlink" xfId="622" builtinId="8" hidden="1"/>
    <cellStyle name="Hyperlink" xfId="612" builtinId="8" hidden="1"/>
    <cellStyle name="Hyperlink" xfId="600" builtinId="8" hidden="1"/>
    <cellStyle name="Hyperlink" xfId="590" builtinId="8" hidden="1"/>
    <cellStyle name="Hyperlink" xfId="580" builtinId="8" hidden="1"/>
    <cellStyle name="Hyperlink" xfId="568" builtinId="8" hidden="1"/>
    <cellStyle name="Hyperlink" xfId="558" builtinId="8" hidden="1"/>
    <cellStyle name="Hyperlink" xfId="372" builtinId="8" hidden="1"/>
    <cellStyle name="Hyperlink" xfId="374" builtinId="8" hidden="1"/>
    <cellStyle name="Hyperlink" xfId="380" builtinId="8" hidden="1"/>
    <cellStyle name="Hyperlink" xfId="382" builtinId="8" hidden="1"/>
    <cellStyle name="Hyperlink" xfId="384" builtinId="8" hidden="1"/>
    <cellStyle name="Hyperlink" xfId="388" builtinId="8" hidden="1"/>
    <cellStyle name="Hyperlink" xfId="390" builtinId="8" hidden="1"/>
    <cellStyle name="Hyperlink" xfId="392" builtinId="8" hidden="1"/>
    <cellStyle name="Hyperlink" xfId="396" builtinId="8" hidden="1"/>
    <cellStyle name="Hyperlink" xfId="400" builtinId="8" hidden="1"/>
    <cellStyle name="Hyperlink" xfId="404" builtinId="8" hidden="1"/>
    <cellStyle name="Hyperlink" xfId="406" builtinId="8" hidden="1"/>
    <cellStyle name="Hyperlink" xfId="408" builtinId="8" hidden="1"/>
    <cellStyle name="Hyperlink" xfId="412" builtinId="8" hidden="1"/>
    <cellStyle name="Hyperlink" xfId="414" builtinId="8" hidden="1"/>
    <cellStyle name="Hyperlink" xfId="416" builtinId="8" hidden="1"/>
    <cellStyle name="Hyperlink" xfId="422" builtinId="8" hidden="1"/>
    <cellStyle name="Hyperlink" xfId="424" builtinId="8" hidden="1"/>
    <cellStyle name="Hyperlink" xfId="428" builtinId="8" hidden="1"/>
    <cellStyle name="Hyperlink" xfId="430" builtinId="8" hidden="1"/>
    <cellStyle name="Hyperlink" xfId="432" builtinId="8" hidden="1"/>
    <cellStyle name="Hyperlink" xfId="436" builtinId="8" hidden="1"/>
    <cellStyle name="Hyperlink" xfId="438" builtinId="8" hidden="1"/>
    <cellStyle name="Hyperlink" xfId="444" builtinId="8" hidden="1"/>
    <cellStyle name="Hyperlink" xfId="446" builtinId="8" hidden="1"/>
    <cellStyle name="Hyperlink" xfId="448" builtinId="8" hidden="1"/>
    <cellStyle name="Hyperlink" xfId="452" builtinId="8" hidden="1"/>
    <cellStyle name="Hyperlink" xfId="454" builtinId="8" hidden="1"/>
    <cellStyle name="Hyperlink" xfId="456" builtinId="8" hidden="1"/>
    <cellStyle name="Hyperlink" xfId="460" builtinId="8" hidden="1"/>
    <cellStyle name="Hyperlink" xfId="464" builtinId="8" hidden="1"/>
    <cellStyle name="Hyperlink" xfId="468" builtinId="8" hidden="1"/>
    <cellStyle name="Hyperlink" xfId="470" builtinId="8" hidden="1"/>
    <cellStyle name="Hyperlink" xfId="472" builtinId="8" hidden="1"/>
    <cellStyle name="Hyperlink" xfId="476" builtinId="8" hidden="1"/>
    <cellStyle name="Hyperlink" xfId="478" builtinId="8" hidden="1"/>
    <cellStyle name="Hyperlink" xfId="480" builtinId="8" hidden="1"/>
    <cellStyle name="Hyperlink" xfId="486" builtinId="8" hidden="1"/>
    <cellStyle name="Hyperlink" xfId="488" builtinId="8" hidden="1"/>
    <cellStyle name="Hyperlink" xfId="492" builtinId="8" hidden="1"/>
    <cellStyle name="Hyperlink" xfId="494" builtinId="8" hidden="1"/>
    <cellStyle name="Hyperlink" xfId="496" builtinId="8" hidden="1"/>
    <cellStyle name="Hyperlink" xfId="500" builtinId="8" hidden="1"/>
    <cellStyle name="Hyperlink" xfId="502" builtinId="8" hidden="1"/>
    <cellStyle name="Hyperlink" xfId="508" builtinId="8" hidden="1"/>
    <cellStyle name="Hyperlink" xfId="510" builtinId="8" hidden="1"/>
    <cellStyle name="Hyperlink" xfId="512" builtinId="8" hidden="1"/>
    <cellStyle name="Hyperlink" xfId="516" builtinId="8" hidden="1"/>
    <cellStyle name="Hyperlink" xfId="518" builtinId="8" hidden="1"/>
    <cellStyle name="Hyperlink" xfId="520" builtinId="8" hidden="1"/>
    <cellStyle name="Hyperlink" xfId="524" builtinId="8" hidden="1"/>
    <cellStyle name="Hyperlink" xfId="528" builtinId="8" hidden="1"/>
    <cellStyle name="Hyperlink" xfId="532" builtinId="8" hidden="1"/>
    <cellStyle name="Hyperlink" xfId="534" builtinId="8" hidden="1"/>
    <cellStyle name="Hyperlink" xfId="536" builtinId="8" hidden="1"/>
    <cellStyle name="Hyperlink" xfId="540" builtinId="8" hidden="1"/>
    <cellStyle name="Hyperlink" xfId="542" builtinId="8" hidden="1"/>
    <cellStyle name="Hyperlink" xfId="544" builtinId="8" hidden="1"/>
    <cellStyle name="Hyperlink" xfId="550" builtinId="8" hidden="1"/>
    <cellStyle name="Hyperlink" xfId="548" builtinId="8" hidden="1"/>
    <cellStyle name="Hyperlink" xfId="526" builtinId="8" hidden="1"/>
    <cellStyle name="Hyperlink" xfId="504" builtinId="8" hidden="1"/>
    <cellStyle name="Hyperlink" xfId="484" builtinId="8" hidden="1"/>
    <cellStyle name="Hyperlink" xfId="462" builtinId="8" hidden="1"/>
    <cellStyle name="Hyperlink" xfId="440" builtinId="8" hidden="1"/>
    <cellStyle name="Hyperlink" xfId="420" builtinId="8" hidden="1"/>
    <cellStyle name="Hyperlink" xfId="398" builtinId="8" hidden="1"/>
    <cellStyle name="Hyperlink" xfId="376" builtinId="8" hidden="1"/>
    <cellStyle name="Hyperlink" xfId="300" builtinId="8" hidden="1"/>
    <cellStyle name="Hyperlink" xfId="302" builtinId="8" hidden="1"/>
    <cellStyle name="Hyperlink" xfId="304" builtinId="8" hidden="1"/>
    <cellStyle name="Hyperlink" xfId="308" builtinId="8" hidden="1"/>
    <cellStyle name="Hyperlink" xfId="310" builtinId="8" hidden="1"/>
    <cellStyle name="Hyperlink" xfId="316" builtinId="8" hidden="1"/>
    <cellStyle name="Hyperlink" xfId="318" builtinId="8" hidden="1"/>
    <cellStyle name="Hyperlink" xfId="320" builtinId="8" hidden="1"/>
    <cellStyle name="Hyperlink" xfId="324" builtinId="8" hidden="1"/>
    <cellStyle name="Hyperlink" xfId="326" builtinId="8" hidden="1"/>
    <cellStyle name="Hyperlink" xfId="328" builtinId="8" hidden="1"/>
    <cellStyle name="Hyperlink" xfId="332" builtinId="8" hidden="1"/>
    <cellStyle name="Hyperlink" xfId="334" builtinId="8" hidden="1"/>
    <cellStyle name="Hyperlink" xfId="336" builtinId="8" hidden="1"/>
    <cellStyle name="Hyperlink" xfId="340" builtinId="8" hidden="1"/>
    <cellStyle name="Hyperlink" xfId="342" builtinId="8" hidden="1"/>
    <cellStyle name="Hyperlink" xfId="344" builtinId="8" hidden="1"/>
    <cellStyle name="Hyperlink" xfId="348" builtinId="8" hidden="1"/>
    <cellStyle name="Hyperlink" xfId="350" builtinId="8" hidden="1"/>
    <cellStyle name="Hyperlink" xfId="352" builtinId="8" hidden="1"/>
    <cellStyle name="Hyperlink" xfId="358" builtinId="8" hidden="1"/>
    <cellStyle name="Hyperlink" xfId="360" builtinId="8" hidden="1"/>
    <cellStyle name="Hyperlink" xfId="364" builtinId="8" hidden="1"/>
    <cellStyle name="Hyperlink" xfId="366" builtinId="8" hidden="1"/>
    <cellStyle name="Hyperlink" xfId="368" builtinId="8" hidden="1"/>
    <cellStyle name="Hyperlink" xfId="356" builtinId="8" hidden="1"/>
    <cellStyle name="Hyperlink" xfId="312" builtinId="8" hidden="1"/>
    <cellStyle name="Hyperlink" xfId="268" builtinId="8" hidden="1"/>
    <cellStyle name="Hyperlink" xfId="270" builtinId="8" hidden="1"/>
    <cellStyle name="Hyperlink" xfId="272" builtinId="8" hidden="1"/>
    <cellStyle name="Hyperlink" xfId="276" builtinId="8" hidden="1"/>
    <cellStyle name="Hyperlink" xfId="278" builtinId="8" hidden="1"/>
    <cellStyle name="Hyperlink" xfId="280" builtinId="8" hidden="1"/>
    <cellStyle name="Hyperlink" xfId="284" builtinId="8" hidden="1"/>
    <cellStyle name="Hyperlink" xfId="286" builtinId="8" hidden="1"/>
    <cellStyle name="Hyperlink" xfId="288" builtinId="8" hidden="1"/>
    <cellStyle name="Hyperlink" xfId="292" builtinId="8" hidden="1"/>
    <cellStyle name="Hyperlink" xfId="294" builtinId="8" hidden="1"/>
    <cellStyle name="Hyperlink" xfId="296" builtinId="8" hidden="1"/>
    <cellStyle name="Hyperlink" xfId="252" builtinId="8" hidden="1"/>
    <cellStyle name="Hyperlink" xfId="254" builtinId="8" hidden="1"/>
    <cellStyle name="Hyperlink" xfId="256" builtinId="8" hidden="1"/>
    <cellStyle name="Hyperlink" xfId="260" builtinId="8" hidden="1"/>
    <cellStyle name="Hyperlink" xfId="262" builtinId="8" hidden="1"/>
    <cellStyle name="Hyperlink" xfId="264" builtinId="8" hidden="1"/>
    <cellStyle name="Hyperlink" xfId="244" builtinId="8" hidden="1"/>
    <cellStyle name="Hyperlink" xfId="246" builtinId="8" hidden="1"/>
    <cellStyle name="Hyperlink" xfId="248" builtinId="8" hidden="1"/>
    <cellStyle name="Hyperlink" xfId="240" builtinId="8" hidden="1"/>
    <cellStyle name="Hyperlink" xfId="238" builtinId="8" hidden="1"/>
    <cellStyle name="Normal" xfId="0" builtinId="0"/>
    <cellStyle name="Normal 2" xfId="1" xr:uid="{00000000-0005-0000-0000-00007B020000}"/>
    <cellStyle name="Percent" xfId="636" builtinId="5"/>
  </cellStyles>
  <dxfs count="0"/>
  <tableStyles count="0" defaultTableStyle="TableStyleMedium9" defaultPivotStyle="PivotStyleLight16"/>
  <colors>
    <mruColors>
      <color rgb="FFEB6BD9"/>
      <color rgb="FFFF66FF"/>
      <color rgb="FFFF33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png"/><Relationship Id="rId1" Type="http://schemas.openxmlformats.org/officeDocument/2006/relationships/image" Target="NUL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5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33868</xdr:colOff>
      <xdr:row>0</xdr:row>
      <xdr:rowOff>0</xdr:rowOff>
    </xdr:from>
    <xdr:to>
      <xdr:col>1</xdr:col>
      <xdr:colOff>279401</xdr:colOff>
      <xdr:row>3</xdr:row>
      <xdr:rowOff>11793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3868" y="0"/>
          <a:ext cx="540808" cy="545193"/>
        </a:xfrm>
        <a:prstGeom prst="rect">
          <a:avLst/>
        </a:prstGeom>
        <a:noFill/>
        <a:ln w="9525" algn="in">
          <a:noFill/>
          <a:miter lim="800000"/>
          <a:headEnd/>
          <a:tailEnd/>
        </a:ln>
        <a:effectLst/>
      </xdr:spPr>
    </xdr:pic>
    <xdr:clientData/>
  </xdr:twoCellAnchor>
  <xdr:twoCellAnchor>
    <xdr:from>
      <xdr:col>0</xdr:col>
      <xdr:colOff>59505</xdr:colOff>
      <xdr:row>3</xdr:row>
      <xdr:rowOff>46448</xdr:rowOff>
    </xdr:from>
    <xdr:to>
      <xdr:col>10</xdr:col>
      <xdr:colOff>611955</xdr:colOff>
      <xdr:row>3</xdr:row>
      <xdr:rowOff>55973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59505" y="579848"/>
          <a:ext cx="6724650" cy="9525"/>
        </a:xfrm>
        <a:prstGeom prst="line">
          <a:avLst/>
        </a:prstGeom>
        <a:ln w="28575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20691</xdr:colOff>
      <xdr:row>63</xdr:row>
      <xdr:rowOff>568271</xdr:rowOff>
    </xdr:from>
    <xdr:to>
      <xdr:col>10</xdr:col>
      <xdr:colOff>968375</xdr:colOff>
      <xdr:row>63</xdr:row>
      <xdr:rowOff>568271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/>
      </xdr:nvCxnSpPr>
      <xdr:spPr>
        <a:xfrm>
          <a:off x="20691" y="12903146"/>
          <a:ext cx="7115122" cy="0"/>
        </a:xfrm>
        <a:prstGeom prst="line">
          <a:avLst/>
        </a:prstGeom>
        <a:ln w="19050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55</xdr:row>
      <xdr:rowOff>96321</xdr:rowOff>
    </xdr:from>
    <xdr:to>
      <xdr:col>3</xdr:col>
      <xdr:colOff>292100</xdr:colOff>
      <xdr:row>62</xdr:row>
      <xdr:rowOff>228600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0" y="10897671"/>
          <a:ext cx="3521075" cy="1799154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900" b="1">
              <a:latin typeface="Arial" pitchFamily="34" charset="0"/>
              <a:cs typeface="Arial" pitchFamily="34" charset="0"/>
            </a:rPr>
            <a:t>OFFICIAL MARKS:</a:t>
          </a:r>
        </a:p>
        <a:p>
          <a:r>
            <a:rPr lang="en-US" sz="800">
              <a:latin typeface="Arial" pitchFamily="34" charset="0"/>
              <a:cs typeface="Arial" pitchFamily="34" charset="0"/>
            </a:rPr>
            <a:t>1.0-99-100%     1.5-94%       2.0-87-89%      2.5-82%       3.0-75-77%</a:t>
          </a:r>
        </a:p>
        <a:p>
          <a:r>
            <a:rPr lang="en-US" sz="800">
              <a:latin typeface="Arial" pitchFamily="34" charset="0"/>
              <a:cs typeface="Arial" pitchFamily="34" charset="0"/>
            </a:rPr>
            <a:t>1.1-98%            1.6-93%       2.1-86%           2.6-81%       4.0-Conditional</a:t>
          </a:r>
        </a:p>
        <a:p>
          <a:r>
            <a:rPr lang="en-US" sz="800">
              <a:latin typeface="Arial" pitchFamily="34" charset="0"/>
              <a:cs typeface="Arial" pitchFamily="34" charset="0"/>
            </a:rPr>
            <a:t>1.2-97%            1.7-92%       2.2-85%           2.7-80%       5.0-Failed</a:t>
          </a:r>
        </a:p>
        <a:p>
          <a:r>
            <a:rPr lang="en-US" sz="800">
              <a:latin typeface="Arial" pitchFamily="34" charset="0"/>
              <a:cs typeface="Arial" pitchFamily="34" charset="0"/>
            </a:rPr>
            <a:t>1.3-96%            1.8-91%       2.3-84%           2.8-79%       INC-Incomplete   </a:t>
          </a:r>
        </a:p>
        <a:p>
          <a:r>
            <a:rPr lang="en-US" sz="800">
              <a:latin typeface="Arial" pitchFamily="34" charset="0"/>
              <a:cs typeface="Arial" pitchFamily="34" charset="0"/>
            </a:rPr>
            <a:t>1.4-95%            1.9-90%       2.4-83%           2.9-78%       DRP-Dropped</a:t>
          </a:r>
        </a:p>
        <a:p>
          <a:endParaRPr lang="en-US" sz="800">
            <a:latin typeface="Arial" pitchFamily="34" charset="0"/>
            <a:cs typeface="Arial" pitchFamily="34" charset="0"/>
          </a:endParaRPr>
        </a:p>
        <a:p>
          <a:r>
            <a:rPr lang="en-US" sz="800" b="1">
              <a:latin typeface="Arial" pitchFamily="34" charset="0"/>
              <a:cs typeface="Arial" pitchFamily="34" charset="0"/>
            </a:rPr>
            <a:t>IMPORTANT :</a:t>
          </a:r>
        </a:p>
        <a:p>
          <a:r>
            <a:rPr lang="en-US" sz="800">
              <a:latin typeface="Arial" pitchFamily="34" charset="0"/>
              <a:cs typeface="Arial" pitchFamily="34" charset="0"/>
            </a:rPr>
            <a:t>1. Due at the OARS within 5 working days after close of term.</a:t>
          </a:r>
        </a:p>
        <a:p>
          <a:r>
            <a:rPr lang="en-US" sz="800">
              <a:latin typeface="Arial" pitchFamily="34" charset="0"/>
              <a:cs typeface="Arial" pitchFamily="34" charset="0"/>
            </a:rPr>
            <a:t>2.  Erasure/Alteration is </a:t>
          </a:r>
          <a:r>
            <a:rPr lang="en-US" sz="800" b="1">
              <a:latin typeface="Arial" pitchFamily="34" charset="0"/>
              <a:cs typeface="Arial" pitchFamily="34" charset="0"/>
            </a:rPr>
            <a:t>NOT ALLOWED</a:t>
          </a:r>
          <a:r>
            <a:rPr lang="en-US" sz="800">
              <a:latin typeface="Arial" pitchFamily="34" charset="0"/>
              <a:cs typeface="Arial" pitchFamily="34" charset="0"/>
            </a:rPr>
            <a:t>. The Registrar reserves the right to refuse acceptance of grade sheets with erasure and/or alteration.</a:t>
          </a:r>
        </a:p>
        <a:p>
          <a:r>
            <a:rPr lang="en-US" sz="800">
              <a:latin typeface="Arial" pitchFamily="34" charset="0"/>
              <a:cs typeface="Arial" pitchFamily="34" charset="0"/>
            </a:rPr>
            <a:t>3. To be submitted by the Dean or his/her authorized representatives not by students.</a:t>
          </a:r>
        </a:p>
      </xdr:txBody>
    </xdr:sp>
    <xdr:clientData/>
  </xdr:twoCellAnchor>
  <xdr:twoCellAnchor>
    <xdr:from>
      <xdr:col>3</xdr:col>
      <xdr:colOff>224646</xdr:colOff>
      <xdr:row>55</xdr:row>
      <xdr:rowOff>32106</xdr:rowOff>
    </xdr:from>
    <xdr:to>
      <xdr:col>11</xdr:col>
      <xdr:colOff>26957</xdr:colOff>
      <xdr:row>62</xdr:row>
      <xdr:rowOff>555624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3453621" y="10833456"/>
          <a:ext cx="3745661" cy="2190393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900">
              <a:latin typeface="Arial" pitchFamily="34" charset="0"/>
              <a:cs typeface="Arial" pitchFamily="34" charset="0"/>
            </a:rPr>
            <a:t>Respectfully submitted:</a:t>
          </a:r>
        </a:p>
        <a:p>
          <a:endParaRPr lang="en-US" sz="900">
            <a:latin typeface="Arial" pitchFamily="34" charset="0"/>
            <a:cs typeface="Arial" pitchFamily="34" charset="0"/>
          </a:endParaRPr>
        </a:p>
        <a:p>
          <a:endParaRPr lang="en-US" sz="900">
            <a:latin typeface="Arial" pitchFamily="34" charset="0"/>
            <a:cs typeface="Arial" pitchFamily="34" charset="0"/>
          </a:endParaRPr>
        </a:p>
        <a:p>
          <a:pPr algn="l"/>
          <a:r>
            <a:rPr lang="en-US" sz="900" b="1" i="0" u="none" strike="noStrike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JEIHLA</a:t>
          </a:r>
          <a:r>
            <a:rPr lang="en-US" sz="900" b="1" i="0" u="none" strike="noStrike" baseline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MARIE VALEZA                            </a:t>
          </a:r>
          <a:r>
            <a:rPr lang="en-US" sz="900" baseline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___________</a:t>
          </a:r>
          <a:endParaRPr lang="en-US" sz="900">
            <a:latin typeface="Arial" pitchFamily="34" charset="0"/>
            <a:cs typeface="Arial" pitchFamily="34" charset="0"/>
          </a:endParaRPr>
        </a:p>
        <a:p>
          <a:r>
            <a:rPr lang="en-US" sz="900" i="1">
              <a:latin typeface="Arial" pitchFamily="34" charset="0"/>
              <a:cs typeface="Arial" pitchFamily="34" charset="0"/>
            </a:rPr>
            <a:t>                   Instructor</a:t>
          </a:r>
          <a:r>
            <a:rPr lang="en-US" sz="900" i="1" baseline="0">
              <a:latin typeface="Arial" pitchFamily="34" charset="0"/>
              <a:cs typeface="Arial" pitchFamily="34" charset="0"/>
            </a:rPr>
            <a:t> 1</a:t>
          </a:r>
          <a:r>
            <a:rPr lang="en-US" sz="900" i="1">
              <a:latin typeface="Arial" pitchFamily="34" charset="0"/>
              <a:cs typeface="Arial" pitchFamily="34" charset="0"/>
            </a:rPr>
            <a:t>                                           </a:t>
          </a:r>
          <a:r>
            <a:rPr lang="id-ID" sz="900" i="1" baseline="0">
              <a:latin typeface="Arial" pitchFamily="34" charset="0"/>
              <a:cs typeface="Arial" pitchFamily="34" charset="0"/>
            </a:rPr>
            <a:t> </a:t>
          </a:r>
          <a:r>
            <a:rPr lang="en-US" sz="900" i="1" baseline="0">
              <a:latin typeface="Arial" pitchFamily="34" charset="0"/>
              <a:cs typeface="Arial" pitchFamily="34" charset="0"/>
            </a:rPr>
            <a:t>   </a:t>
          </a:r>
          <a:r>
            <a:rPr lang="en-US" sz="900" i="1">
              <a:latin typeface="Arial" pitchFamily="34" charset="0"/>
              <a:cs typeface="Arial" pitchFamily="34" charset="0"/>
            </a:rPr>
            <a:t>Date</a:t>
          </a:r>
        </a:p>
        <a:p>
          <a:endParaRPr lang="en-US" sz="900">
            <a:latin typeface="Arial" pitchFamily="34" charset="0"/>
            <a:cs typeface="Arial" pitchFamily="34" charset="0"/>
          </a:endParaRPr>
        </a:p>
        <a:p>
          <a:r>
            <a:rPr lang="en-US" sz="900">
              <a:latin typeface="Arial" pitchFamily="34" charset="0"/>
              <a:cs typeface="Arial" pitchFamily="34" charset="0"/>
            </a:rPr>
            <a:t>Approved:</a:t>
          </a:r>
        </a:p>
        <a:p>
          <a:endParaRPr lang="en-US" sz="900">
            <a:latin typeface="Arial" pitchFamily="34" charset="0"/>
            <a:cs typeface="Arial" pitchFamily="34" charset="0"/>
          </a:endParaRPr>
        </a:p>
        <a:p>
          <a:r>
            <a:rPr lang="en-US" sz="900">
              <a:latin typeface="Arial" pitchFamily="34" charset="0"/>
              <a:cs typeface="Arial" pitchFamily="34" charset="0"/>
            </a:rPr>
            <a:t>   </a:t>
          </a:r>
          <a:r>
            <a:rPr lang="en-US" sz="900" b="1" baseline="0">
              <a:latin typeface="Arial" pitchFamily="34" charset="0"/>
              <a:cs typeface="Arial" pitchFamily="34" charset="0"/>
            </a:rPr>
            <a:t>    VICENTE G. PADILLA, MAME  </a:t>
          </a:r>
          <a:r>
            <a:rPr lang="en-US" sz="900" baseline="0">
              <a:latin typeface="Arial" pitchFamily="34" charset="0"/>
              <a:cs typeface="Arial" pitchFamily="34" charset="0"/>
            </a:rPr>
            <a:t>                 </a:t>
          </a:r>
          <a:r>
            <a:rPr lang="en-US" sz="900">
              <a:latin typeface="Arial" pitchFamily="34" charset="0"/>
              <a:cs typeface="Arial" pitchFamily="34" charset="0"/>
            </a:rPr>
            <a:t>____________</a:t>
          </a:r>
        </a:p>
        <a:p>
          <a:r>
            <a:rPr lang="en-US" sz="900" i="1">
              <a:latin typeface="Arial" pitchFamily="34" charset="0"/>
              <a:cs typeface="Arial" pitchFamily="34" charset="0"/>
            </a:rPr>
            <a:t>                     Dean  </a:t>
          </a:r>
          <a:r>
            <a:rPr lang="en-US" sz="900" i="1" baseline="0">
              <a:latin typeface="Arial" pitchFamily="34" charset="0"/>
              <a:cs typeface="Arial" pitchFamily="34" charset="0"/>
            </a:rPr>
            <a:t>                                                   </a:t>
          </a:r>
          <a:r>
            <a:rPr lang="en-US" sz="900" i="1">
              <a:latin typeface="Arial" pitchFamily="34" charset="0"/>
              <a:cs typeface="Arial" pitchFamily="34" charset="0"/>
            </a:rPr>
            <a:t> Date</a:t>
          </a:r>
        </a:p>
        <a:p>
          <a:endParaRPr lang="en-US" sz="900">
            <a:latin typeface="Arial" pitchFamily="34" charset="0"/>
            <a:cs typeface="Arial" pitchFamily="34" charset="0"/>
          </a:endParaRPr>
        </a:p>
        <a:p>
          <a:endParaRPr lang="en-US" sz="900">
            <a:latin typeface="Arial" pitchFamily="34" charset="0"/>
            <a:cs typeface="Arial" pitchFamily="34" charset="0"/>
          </a:endParaRPr>
        </a:p>
        <a:p>
          <a:r>
            <a:rPr lang="en-US" sz="900" b="1">
              <a:latin typeface="Arial" pitchFamily="34" charset="0"/>
              <a:cs typeface="Arial" pitchFamily="34" charset="0"/>
            </a:rPr>
            <a:t>       SALVACION</a:t>
          </a:r>
          <a:r>
            <a:rPr lang="en-US" sz="900" b="1" baseline="0">
              <a:latin typeface="Arial" pitchFamily="34" charset="0"/>
              <a:cs typeface="Arial" pitchFamily="34" charset="0"/>
            </a:rPr>
            <a:t> B. MURILLO</a:t>
          </a:r>
          <a:r>
            <a:rPr lang="en-US" sz="900" b="1">
              <a:latin typeface="Arial" pitchFamily="34" charset="0"/>
              <a:cs typeface="Arial" pitchFamily="34" charset="0"/>
            </a:rPr>
            <a:t>, MPA            </a:t>
          </a:r>
          <a:r>
            <a:rPr lang="en-US" sz="900" b="1" baseline="0">
              <a:latin typeface="Arial" pitchFamily="34" charset="0"/>
              <a:cs typeface="Arial" pitchFamily="34" charset="0"/>
            </a:rPr>
            <a:t>    </a:t>
          </a:r>
          <a:r>
            <a:rPr lang="en-US" sz="900" b="1">
              <a:latin typeface="Arial" pitchFamily="34" charset="0"/>
              <a:cs typeface="Arial" pitchFamily="34" charset="0"/>
            </a:rPr>
            <a:t>_</a:t>
          </a:r>
          <a:r>
            <a:rPr lang="en-US" sz="900">
              <a:latin typeface="Arial" pitchFamily="34" charset="0"/>
              <a:cs typeface="Arial" pitchFamily="34" charset="0"/>
            </a:rPr>
            <a:t>___________</a:t>
          </a:r>
        </a:p>
        <a:p>
          <a:r>
            <a:rPr lang="en-US" sz="900" i="1">
              <a:latin typeface="Arial" pitchFamily="34" charset="0"/>
              <a:cs typeface="Arial" pitchFamily="34" charset="0"/>
            </a:rPr>
            <a:t>              </a:t>
          </a:r>
          <a:r>
            <a:rPr lang="en-US" sz="900" i="0">
              <a:latin typeface="Arial" pitchFamily="34" charset="0"/>
              <a:cs typeface="Arial" pitchFamily="34" charset="0"/>
            </a:rPr>
            <a:t>Officer-In-Charge/AO</a:t>
          </a:r>
          <a:r>
            <a:rPr lang="en-US" sz="900" i="0" baseline="0">
              <a:latin typeface="Arial" pitchFamily="34" charset="0"/>
              <a:cs typeface="Arial" pitchFamily="34" charset="0"/>
            </a:rPr>
            <a:t> IV</a:t>
          </a:r>
          <a:r>
            <a:rPr lang="en-US" sz="900" i="0">
              <a:latin typeface="Arial" pitchFamily="34" charset="0"/>
              <a:cs typeface="Arial" pitchFamily="34" charset="0"/>
            </a:rPr>
            <a:t>                      </a:t>
          </a:r>
          <a:r>
            <a:rPr lang="en-US" sz="900" i="0" baseline="0">
              <a:latin typeface="Arial" pitchFamily="34" charset="0"/>
              <a:cs typeface="Arial" pitchFamily="34" charset="0"/>
            </a:rPr>
            <a:t>      </a:t>
          </a:r>
          <a:r>
            <a:rPr lang="en-US" sz="900" i="0">
              <a:latin typeface="Arial" pitchFamily="34" charset="0"/>
              <a:cs typeface="Arial" pitchFamily="34" charset="0"/>
            </a:rPr>
            <a:t>   </a:t>
          </a:r>
          <a:r>
            <a:rPr lang="en-US" sz="900" i="1">
              <a:latin typeface="Arial" pitchFamily="34" charset="0"/>
              <a:cs typeface="Arial" pitchFamily="34" charset="0"/>
            </a:rPr>
            <a:t>Date</a:t>
          </a:r>
        </a:p>
        <a:p>
          <a:r>
            <a:rPr lang="en-US" sz="900" i="1" baseline="0">
              <a:latin typeface="Arial" pitchFamily="34" charset="0"/>
              <a:cs typeface="Arial" pitchFamily="34" charset="0"/>
            </a:rPr>
            <a:t>               University Registrar II</a:t>
          </a:r>
          <a:endParaRPr lang="en-US" sz="900" i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10</xdr:col>
      <xdr:colOff>13271</xdr:colOff>
      <xdr:row>12</xdr:row>
      <xdr:rowOff>163103</xdr:rowOff>
    </xdr:from>
    <xdr:to>
      <xdr:col>11</xdr:col>
      <xdr:colOff>13271</xdr:colOff>
      <xdr:row>12</xdr:row>
      <xdr:rowOff>163103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CxnSpPr/>
      </xdr:nvCxnSpPr>
      <xdr:spPr>
        <a:xfrm>
          <a:off x="6185471" y="2163353"/>
          <a:ext cx="10001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15839</xdr:colOff>
      <xdr:row>13</xdr:row>
      <xdr:rowOff>154970</xdr:rowOff>
    </xdr:from>
    <xdr:to>
      <xdr:col>11</xdr:col>
      <xdr:colOff>15839</xdr:colOff>
      <xdr:row>13</xdr:row>
      <xdr:rowOff>154970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CxnSpPr/>
      </xdr:nvCxnSpPr>
      <xdr:spPr>
        <a:xfrm>
          <a:off x="6188039" y="2355245"/>
          <a:ext cx="10001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18408</xdr:colOff>
      <xdr:row>15</xdr:row>
      <xdr:rowOff>7707</xdr:rowOff>
    </xdr:from>
    <xdr:to>
      <xdr:col>11</xdr:col>
      <xdr:colOff>18408</xdr:colOff>
      <xdr:row>15</xdr:row>
      <xdr:rowOff>7707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CxnSpPr/>
      </xdr:nvCxnSpPr>
      <xdr:spPr>
        <a:xfrm>
          <a:off x="6190608" y="2560407"/>
          <a:ext cx="10001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11881</xdr:colOff>
      <xdr:row>16</xdr:row>
      <xdr:rowOff>0</xdr:rowOff>
    </xdr:from>
    <xdr:to>
      <xdr:col>11</xdr:col>
      <xdr:colOff>15874</xdr:colOff>
      <xdr:row>16</xdr:row>
      <xdr:rowOff>5105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CxnSpPr/>
      </xdr:nvCxnSpPr>
      <xdr:spPr>
        <a:xfrm flipV="1">
          <a:off x="6184081" y="2743200"/>
          <a:ext cx="1004118" cy="510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33868</xdr:colOff>
      <xdr:row>0</xdr:row>
      <xdr:rowOff>0</xdr:rowOff>
    </xdr:from>
    <xdr:to>
      <xdr:col>1</xdr:col>
      <xdr:colOff>341312</xdr:colOff>
      <xdr:row>3</xdr:row>
      <xdr:rowOff>15875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868" y="0"/>
          <a:ext cx="602719" cy="549275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0</xdr:row>
      <xdr:rowOff>0</xdr:rowOff>
    </xdr:from>
    <xdr:to>
      <xdr:col>10</xdr:col>
      <xdr:colOff>541913</xdr:colOff>
      <xdr:row>3</xdr:row>
      <xdr:rowOff>23091</xdr:rowOff>
    </xdr:to>
    <xdr:pic>
      <xdr:nvPicPr>
        <xdr:cNvPr id="12" name="officeArt object" descr="E:\Desktop\Joson\ETjoson documents\ETJ\ISO FORM OTR, DIP, LOGO\TR-Testmark_9108633846_EN_CMYK_without-QR-NEW LOGO.jpg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/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5543550" y="0"/>
          <a:ext cx="1170563" cy="556491"/>
        </a:xfrm>
        <a:prstGeom prst="rect">
          <a:avLst/>
        </a:prstGeom>
        <a:ln w="12700" cap="flat">
          <a:noFill/>
          <a:miter lim="400000"/>
          <a:headEnd/>
          <a:tailEnd/>
        </a:ln>
        <a:effectLst/>
      </xdr:spPr>
    </xdr:pic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0</xdr:colOff>
      <xdr:row>11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CxnSpPr/>
      </xdr:nvCxnSpPr>
      <xdr:spPr>
        <a:xfrm>
          <a:off x="6172200" y="1809750"/>
          <a:ext cx="10001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367186</xdr:colOff>
      <xdr:row>0</xdr:row>
      <xdr:rowOff>138546</xdr:rowOff>
    </xdr:from>
    <xdr:to>
      <xdr:col>2</xdr:col>
      <xdr:colOff>586273</xdr:colOff>
      <xdr:row>5</xdr:row>
      <xdr:rowOff>60045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75D588-E261-4196-9BE5-E31A86FFDD8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0546" y="138546"/>
          <a:ext cx="843927" cy="881619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367186</xdr:colOff>
      <xdr:row>0</xdr:row>
      <xdr:rowOff>138546</xdr:rowOff>
    </xdr:from>
    <xdr:to>
      <xdr:col>2</xdr:col>
      <xdr:colOff>586273</xdr:colOff>
      <xdr:row>5</xdr:row>
      <xdr:rowOff>60045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82D7D8-565D-42E2-80E5-1499146BD99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0546" y="138546"/>
          <a:ext cx="843927" cy="881619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367186</xdr:colOff>
      <xdr:row>0</xdr:row>
      <xdr:rowOff>138546</xdr:rowOff>
    </xdr:from>
    <xdr:to>
      <xdr:col>2</xdr:col>
      <xdr:colOff>586273</xdr:colOff>
      <xdr:row>5</xdr:row>
      <xdr:rowOff>60045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7712F2-7234-4766-9CE9-6FBE7124B34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0546" y="138546"/>
          <a:ext cx="843927" cy="881619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274810</xdr:colOff>
      <xdr:row>0</xdr:row>
      <xdr:rowOff>68384</xdr:rowOff>
    </xdr:from>
    <xdr:to>
      <xdr:col>2</xdr:col>
      <xdr:colOff>392723</xdr:colOff>
      <xdr:row>5</xdr:row>
      <xdr:rowOff>82062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825" y="68384"/>
          <a:ext cx="786129" cy="875324"/>
        </a:xfrm>
        <a:prstGeom prst="rect">
          <a:avLst/>
        </a:prstGeom>
        <a:noFill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59505</xdr:colOff>
      <xdr:row>3</xdr:row>
      <xdr:rowOff>46448</xdr:rowOff>
    </xdr:from>
    <xdr:to>
      <xdr:col>10</xdr:col>
      <xdr:colOff>611955</xdr:colOff>
      <xdr:row>3</xdr:row>
      <xdr:rowOff>55973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CxnSpPr/>
      </xdr:nvCxnSpPr>
      <xdr:spPr>
        <a:xfrm>
          <a:off x="59505" y="583312"/>
          <a:ext cx="6726382" cy="9525"/>
        </a:xfrm>
        <a:prstGeom prst="line">
          <a:avLst/>
        </a:prstGeom>
        <a:ln w="28575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8544</xdr:colOff>
      <xdr:row>83</xdr:row>
      <xdr:rowOff>176530</xdr:rowOff>
    </xdr:from>
    <xdr:to>
      <xdr:col>10</xdr:col>
      <xdr:colOff>1007110</xdr:colOff>
      <xdr:row>83</xdr:row>
      <xdr:rowOff>177570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CxnSpPr/>
      </xdr:nvCxnSpPr>
      <xdr:spPr>
        <a:xfrm flipV="1">
          <a:off x="8544" y="12311380"/>
          <a:ext cx="7342216" cy="1040"/>
        </a:xfrm>
        <a:prstGeom prst="line">
          <a:avLst/>
        </a:prstGeom>
        <a:ln w="19050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59690</xdr:colOff>
      <xdr:row>80</xdr:row>
      <xdr:rowOff>27741</xdr:rowOff>
    </xdr:from>
    <xdr:to>
      <xdr:col>3</xdr:col>
      <xdr:colOff>351790</xdr:colOff>
      <xdr:row>83</xdr:row>
      <xdr:rowOff>30480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59690" y="11686341"/>
          <a:ext cx="3613150" cy="1552139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900" b="1">
              <a:latin typeface="Arial" pitchFamily="34" charset="0"/>
              <a:cs typeface="Arial" pitchFamily="34" charset="0"/>
            </a:rPr>
            <a:t>OFFICIAL MARKS:</a:t>
          </a:r>
        </a:p>
        <a:p>
          <a:r>
            <a:rPr lang="en-US" sz="800">
              <a:latin typeface="Arial" pitchFamily="34" charset="0"/>
              <a:cs typeface="Arial" pitchFamily="34" charset="0"/>
            </a:rPr>
            <a:t>1.0-99-100%     1.5-94%       2.0-87-89%      2.5-82%       3.0-75-77%</a:t>
          </a:r>
        </a:p>
        <a:p>
          <a:r>
            <a:rPr lang="en-US" sz="800">
              <a:latin typeface="Arial" pitchFamily="34" charset="0"/>
              <a:cs typeface="Arial" pitchFamily="34" charset="0"/>
            </a:rPr>
            <a:t>1.1-98%            1.6-93%       2.1-86%           2.6-81%       4.0-Conditional</a:t>
          </a:r>
        </a:p>
        <a:p>
          <a:r>
            <a:rPr lang="en-US" sz="800">
              <a:latin typeface="Arial" pitchFamily="34" charset="0"/>
              <a:cs typeface="Arial" pitchFamily="34" charset="0"/>
            </a:rPr>
            <a:t>1.2-97%            1.7-92%       2.2-85%           2.7-80%       5.0-Failed</a:t>
          </a:r>
        </a:p>
        <a:p>
          <a:r>
            <a:rPr lang="en-US" sz="800">
              <a:latin typeface="Arial" pitchFamily="34" charset="0"/>
              <a:cs typeface="Arial" pitchFamily="34" charset="0"/>
            </a:rPr>
            <a:t>1.3-96%            1.8-91%       2.3-84%           2.8-79%       INC-Incomplete   </a:t>
          </a:r>
        </a:p>
        <a:p>
          <a:r>
            <a:rPr lang="en-US" sz="800">
              <a:latin typeface="Arial" pitchFamily="34" charset="0"/>
              <a:cs typeface="Arial" pitchFamily="34" charset="0"/>
            </a:rPr>
            <a:t>1.4-95%            1.9-90%       2.4-83%           2.9-78%       DRP-Dropped</a:t>
          </a:r>
        </a:p>
        <a:p>
          <a:endParaRPr lang="en-US" sz="800">
            <a:latin typeface="Arial" pitchFamily="34" charset="0"/>
            <a:cs typeface="Arial" pitchFamily="34" charset="0"/>
          </a:endParaRPr>
        </a:p>
        <a:p>
          <a:r>
            <a:rPr lang="en-US" sz="800" b="1">
              <a:latin typeface="Arial" pitchFamily="34" charset="0"/>
              <a:cs typeface="Arial" pitchFamily="34" charset="0"/>
            </a:rPr>
            <a:t>IMPORTANT :</a:t>
          </a:r>
        </a:p>
        <a:p>
          <a:r>
            <a:rPr lang="en-US" sz="800">
              <a:latin typeface="Arial" pitchFamily="34" charset="0"/>
              <a:cs typeface="Arial" pitchFamily="34" charset="0"/>
            </a:rPr>
            <a:t>1. Due at the OARS within 5 working days after close of term.</a:t>
          </a:r>
        </a:p>
        <a:p>
          <a:r>
            <a:rPr lang="en-US" sz="800">
              <a:latin typeface="Arial" pitchFamily="34" charset="0"/>
              <a:cs typeface="Arial" pitchFamily="34" charset="0"/>
            </a:rPr>
            <a:t>2.  Erasure/Alteration is </a:t>
          </a:r>
          <a:r>
            <a:rPr lang="en-US" sz="800" b="1">
              <a:latin typeface="Arial" pitchFamily="34" charset="0"/>
              <a:cs typeface="Arial" pitchFamily="34" charset="0"/>
            </a:rPr>
            <a:t>NOT ALLOWED</a:t>
          </a:r>
          <a:r>
            <a:rPr lang="en-US" sz="800">
              <a:latin typeface="Arial" pitchFamily="34" charset="0"/>
              <a:cs typeface="Arial" pitchFamily="34" charset="0"/>
            </a:rPr>
            <a:t>. The Registrar reserves the right to refuse acceptance of grade sheets with erasure and/or alteration.</a:t>
          </a:r>
        </a:p>
        <a:p>
          <a:r>
            <a:rPr lang="en-US" sz="800">
              <a:latin typeface="Arial" pitchFamily="34" charset="0"/>
              <a:cs typeface="Arial" pitchFamily="34" charset="0"/>
            </a:rPr>
            <a:t>3. To be submitted by the Dean or his/her authorized representatives not by students.</a:t>
          </a:r>
        </a:p>
      </xdr:txBody>
    </xdr:sp>
    <xdr:clientData/>
  </xdr:twoCellAnchor>
  <xdr:twoCellAnchor>
    <xdr:from>
      <xdr:col>0</xdr:col>
      <xdr:colOff>540</xdr:colOff>
      <xdr:row>153</xdr:row>
      <xdr:rowOff>173966</xdr:rowOff>
    </xdr:from>
    <xdr:to>
      <xdr:col>10</xdr:col>
      <xdr:colOff>572040</xdr:colOff>
      <xdr:row>153</xdr:row>
      <xdr:rowOff>183491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CxnSpPr/>
      </xdr:nvCxnSpPr>
      <xdr:spPr>
        <a:xfrm>
          <a:off x="540" y="25783636"/>
          <a:ext cx="6789708" cy="9525"/>
        </a:xfrm>
        <a:prstGeom prst="line">
          <a:avLst/>
        </a:prstGeom>
        <a:ln w="19050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254000</xdr:colOff>
      <xdr:row>141</xdr:row>
      <xdr:rowOff>17971</xdr:rowOff>
    </xdr:from>
    <xdr:to>
      <xdr:col>11</xdr:col>
      <xdr:colOff>19050</xdr:colOff>
      <xdr:row>153</xdr:row>
      <xdr:rowOff>53914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3434991" y="23363207"/>
          <a:ext cx="3458234" cy="2300377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900">
              <a:latin typeface="Arial" pitchFamily="34" charset="0"/>
              <a:cs typeface="Arial" pitchFamily="34" charset="0"/>
            </a:rPr>
            <a:t>Respectfully submitted:</a:t>
          </a:r>
        </a:p>
        <a:p>
          <a:endParaRPr lang="en-US" sz="900">
            <a:latin typeface="Arial" pitchFamily="34" charset="0"/>
            <a:cs typeface="Arial" pitchFamily="34" charset="0"/>
          </a:endParaRPr>
        </a:p>
        <a:p>
          <a:endParaRPr lang="en-US" sz="900">
            <a:latin typeface="Arial" pitchFamily="34" charset="0"/>
            <a:cs typeface="Arial" pitchFamily="34" charset="0"/>
          </a:endParaRPr>
        </a:p>
        <a:p>
          <a:pPr algn="l"/>
          <a:r>
            <a:rPr lang="en-US" sz="1100" b="1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             FRANKIE T. TEVAR                            </a:t>
          </a:r>
          <a:r>
            <a:rPr lang="en-US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___________</a:t>
          </a:r>
          <a:endParaRPr lang="en-US" sz="900">
            <a:latin typeface="Arial" pitchFamily="34" charset="0"/>
            <a:cs typeface="Arial" pitchFamily="34" charset="0"/>
          </a:endParaRPr>
        </a:p>
        <a:p>
          <a:r>
            <a:rPr lang="en-US" sz="800" i="1">
              <a:latin typeface="Arial" pitchFamily="34" charset="0"/>
              <a:cs typeface="Arial" pitchFamily="34" charset="0"/>
            </a:rPr>
            <a:t>                Instructor/Professor                                            Date</a:t>
          </a:r>
        </a:p>
        <a:p>
          <a:endParaRPr lang="en-US" sz="900">
            <a:latin typeface="Arial" pitchFamily="34" charset="0"/>
            <a:cs typeface="Arial" pitchFamily="34" charset="0"/>
          </a:endParaRPr>
        </a:p>
        <a:p>
          <a:r>
            <a:rPr lang="en-US" sz="900">
              <a:latin typeface="Arial" pitchFamily="34" charset="0"/>
              <a:cs typeface="Arial" pitchFamily="34" charset="0"/>
            </a:rPr>
            <a:t>Approved:</a:t>
          </a:r>
        </a:p>
        <a:p>
          <a:endParaRPr lang="en-US" sz="900">
            <a:latin typeface="Arial" pitchFamily="34" charset="0"/>
            <a:cs typeface="Arial" pitchFamily="34" charset="0"/>
          </a:endParaRPr>
        </a:p>
        <a:p>
          <a:r>
            <a:rPr lang="en-US" sz="900">
              <a:latin typeface="Arial" pitchFamily="34" charset="0"/>
              <a:cs typeface="Arial" pitchFamily="34" charset="0"/>
            </a:rPr>
            <a:t>   </a:t>
          </a:r>
          <a:r>
            <a:rPr lang="en-US" sz="900" b="1" baseline="0">
              <a:latin typeface="Arial" pitchFamily="34" charset="0"/>
              <a:cs typeface="Arial" pitchFamily="34" charset="0"/>
            </a:rPr>
            <a:t>MORENO D. TABIOS JR., MAME</a:t>
          </a:r>
          <a:r>
            <a:rPr lang="en-US" sz="900" baseline="0">
              <a:latin typeface="Arial" pitchFamily="34" charset="0"/>
              <a:cs typeface="Arial" pitchFamily="34" charset="0"/>
            </a:rPr>
            <a:t>                  </a:t>
          </a:r>
          <a:r>
            <a:rPr lang="en-US" sz="900">
              <a:latin typeface="Arial" pitchFamily="34" charset="0"/>
              <a:cs typeface="Arial" pitchFamily="34" charset="0"/>
            </a:rPr>
            <a:t>____________</a:t>
          </a:r>
        </a:p>
        <a:p>
          <a:r>
            <a:rPr lang="en-US" sz="800" i="1">
              <a:latin typeface="Arial" pitchFamily="34" charset="0"/>
              <a:cs typeface="Arial" pitchFamily="34" charset="0"/>
            </a:rPr>
            <a:t>                     Dean                                                             Date</a:t>
          </a:r>
        </a:p>
        <a:p>
          <a:endParaRPr lang="en-US" sz="900">
            <a:latin typeface="Arial" pitchFamily="34" charset="0"/>
            <a:cs typeface="Arial" pitchFamily="34" charset="0"/>
          </a:endParaRPr>
        </a:p>
        <a:p>
          <a:r>
            <a:rPr lang="en-US" sz="900" b="1">
              <a:latin typeface="Arial" pitchFamily="34" charset="0"/>
              <a:cs typeface="Arial" pitchFamily="34" charset="0"/>
            </a:rPr>
            <a:t>   MARILYN G. TEJADA, MBA            </a:t>
          </a:r>
          <a:r>
            <a:rPr lang="en-US" sz="900" b="1" baseline="0">
              <a:latin typeface="Arial" pitchFamily="34" charset="0"/>
              <a:cs typeface="Arial" pitchFamily="34" charset="0"/>
            </a:rPr>
            <a:t>            </a:t>
          </a:r>
          <a:r>
            <a:rPr lang="en-US" sz="900" b="1">
              <a:latin typeface="Arial" pitchFamily="34" charset="0"/>
              <a:cs typeface="Arial" pitchFamily="34" charset="0"/>
            </a:rPr>
            <a:t>  _</a:t>
          </a:r>
          <a:r>
            <a:rPr lang="en-US" sz="900">
              <a:latin typeface="Arial" pitchFamily="34" charset="0"/>
              <a:cs typeface="Arial" pitchFamily="34" charset="0"/>
            </a:rPr>
            <a:t>___________</a:t>
          </a:r>
        </a:p>
        <a:p>
          <a:r>
            <a:rPr lang="en-US" sz="800" i="1">
              <a:latin typeface="Arial" pitchFamily="34" charset="0"/>
              <a:cs typeface="Arial" pitchFamily="34" charset="0"/>
            </a:rPr>
            <a:t>                     Registrar III                                                         Date</a:t>
          </a:r>
        </a:p>
      </xdr:txBody>
    </xdr:sp>
    <xdr:clientData/>
  </xdr:twoCellAnchor>
  <xdr:twoCellAnchor>
    <xdr:from>
      <xdr:col>1</xdr:col>
      <xdr:colOff>466189</xdr:colOff>
      <xdr:row>5</xdr:row>
      <xdr:rowOff>6350</xdr:rowOff>
    </xdr:from>
    <xdr:to>
      <xdr:col>2</xdr:col>
      <xdr:colOff>12700</xdr:colOff>
      <xdr:row>5</xdr:row>
      <xdr:rowOff>9218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CxnSpPr/>
      </xdr:nvCxnSpPr>
      <xdr:spPr>
        <a:xfrm flipV="1">
          <a:off x="770989" y="774700"/>
          <a:ext cx="505361" cy="286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18321</xdr:colOff>
      <xdr:row>10</xdr:row>
      <xdr:rowOff>198120</xdr:rowOff>
    </xdr:from>
    <xdr:to>
      <xdr:col>11</xdr:col>
      <xdr:colOff>18321</xdr:colOff>
      <xdr:row>10</xdr:row>
      <xdr:rowOff>198120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00000000-0008-0000-0600-00001A000000}"/>
            </a:ext>
          </a:extLst>
        </xdr:cNvPr>
        <xdr:cNvCxnSpPr/>
      </xdr:nvCxnSpPr>
      <xdr:spPr>
        <a:xfrm>
          <a:off x="6365781" y="1699260"/>
          <a:ext cx="105918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5651</xdr:colOff>
      <xdr:row>13</xdr:row>
      <xdr:rowOff>3083</xdr:rowOff>
    </xdr:from>
    <xdr:to>
      <xdr:col>11</xdr:col>
      <xdr:colOff>5651</xdr:colOff>
      <xdr:row>13</xdr:row>
      <xdr:rowOff>3083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CxnSpPr/>
      </xdr:nvCxnSpPr>
      <xdr:spPr>
        <a:xfrm>
          <a:off x="6353111" y="2098583"/>
          <a:ext cx="105918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599</xdr:colOff>
      <xdr:row>14</xdr:row>
      <xdr:rowOff>2570</xdr:rowOff>
    </xdr:from>
    <xdr:to>
      <xdr:col>11</xdr:col>
      <xdr:colOff>599</xdr:colOff>
      <xdr:row>14</xdr:row>
      <xdr:rowOff>2570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00000000-0008-0000-0600-00001F000000}"/>
            </a:ext>
          </a:extLst>
        </xdr:cNvPr>
        <xdr:cNvCxnSpPr/>
      </xdr:nvCxnSpPr>
      <xdr:spPr>
        <a:xfrm>
          <a:off x="6348059" y="2296190"/>
          <a:ext cx="105918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14598</xdr:colOff>
      <xdr:row>15</xdr:row>
      <xdr:rowOff>87</xdr:rowOff>
    </xdr:from>
    <xdr:to>
      <xdr:col>11</xdr:col>
      <xdr:colOff>13328</xdr:colOff>
      <xdr:row>15</xdr:row>
      <xdr:rowOff>87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00000000-0008-0000-0600-000020000000}"/>
            </a:ext>
          </a:extLst>
        </xdr:cNvPr>
        <xdr:cNvCxnSpPr/>
      </xdr:nvCxnSpPr>
      <xdr:spPr>
        <a:xfrm>
          <a:off x="6358248" y="2089237"/>
          <a:ext cx="105918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8890</xdr:colOff>
      <xdr:row>17</xdr:row>
      <xdr:rowOff>0</xdr:rowOff>
    </xdr:from>
    <xdr:to>
      <xdr:col>10</xdr:col>
      <xdr:colOff>1054100</xdr:colOff>
      <xdr:row>17</xdr:row>
      <xdr:rowOff>7620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CxnSpPr/>
      </xdr:nvCxnSpPr>
      <xdr:spPr>
        <a:xfrm>
          <a:off x="6352540" y="2362200"/>
          <a:ext cx="1045210" cy="762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26248</xdr:colOff>
      <xdr:row>0</xdr:row>
      <xdr:rowOff>0</xdr:rowOff>
    </xdr:from>
    <xdr:to>
      <xdr:col>1</xdr:col>
      <xdr:colOff>364721</xdr:colOff>
      <xdr:row>3</xdr:row>
      <xdr:rowOff>8659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248" y="0"/>
          <a:ext cx="643273" cy="526819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0</xdr:row>
      <xdr:rowOff>0</xdr:rowOff>
    </xdr:from>
    <xdr:to>
      <xdr:col>10</xdr:col>
      <xdr:colOff>536862</xdr:colOff>
      <xdr:row>3</xdr:row>
      <xdr:rowOff>25977</xdr:rowOff>
    </xdr:to>
    <xdr:pic>
      <xdr:nvPicPr>
        <xdr:cNvPr id="16" name="officeArt object" descr="E:\Desktop\Joson\ETjoson documents\ETJ\ISO FORM OTR, DIP, LOGO\TR-Testmark_9108633846_EN_CMYK_without-QR-NEW LOGO.jpg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541818" y="0"/>
          <a:ext cx="1168976" cy="562841"/>
        </a:xfrm>
        <a:prstGeom prst="rect">
          <a:avLst/>
        </a:prstGeom>
        <a:ln w="12700" cap="flat">
          <a:noFill/>
          <a:miter lim="400000"/>
          <a:headEnd/>
          <a:tailEnd/>
        </a:ln>
        <a:effectLst/>
      </xdr:spPr>
    </xdr:pic>
    <xdr:clientData/>
  </xdr:twoCellAnchor>
  <xdr:twoCellAnchor>
    <xdr:from>
      <xdr:col>3</xdr:col>
      <xdr:colOff>350521</xdr:colOff>
      <xdr:row>80</xdr:row>
      <xdr:rowOff>15241</xdr:rowOff>
    </xdr:from>
    <xdr:to>
      <xdr:col>10</xdr:col>
      <xdr:colOff>975361</xdr:colOff>
      <xdr:row>82</xdr:row>
      <xdr:rowOff>990601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 txBox="1"/>
      </xdr:nvSpPr>
      <xdr:spPr>
        <a:xfrm>
          <a:off x="3672841" y="12047221"/>
          <a:ext cx="3649980" cy="1508760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900">
              <a:latin typeface="Arial" pitchFamily="34" charset="0"/>
              <a:cs typeface="Arial" pitchFamily="34" charset="0"/>
            </a:rPr>
            <a:t>Respectfully submitted:</a:t>
          </a:r>
        </a:p>
        <a:p>
          <a:endParaRPr lang="en-US" sz="900">
            <a:latin typeface="Arial" pitchFamily="34" charset="0"/>
            <a:cs typeface="Arial" pitchFamily="34" charset="0"/>
          </a:endParaRPr>
        </a:p>
        <a:p>
          <a:pPr algn="l"/>
          <a:r>
            <a:rPr lang="en-US" sz="900" b="1" i="0" u="none" strike="noStrike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       JEIHLA</a:t>
          </a:r>
          <a:r>
            <a:rPr lang="en-US" sz="900" b="1" i="0" u="none" strike="noStrike" baseline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MARIE VALEZA                            </a:t>
          </a:r>
          <a:r>
            <a:rPr lang="en-US" sz="900" baseline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___________</a:t>
          </a:r>
          <a:endParaRPr lang="en-US" sz="900">
            <a:latin typeface="Arial" pitchFamily="34" charset="0"/>
            <a:cs typeface="Arial" pitchFamily="34" charset="0"/>
          </a:endParaRPr>
        </a:p>
        <a:p>
          <a:r>
            <a:rPr lang="en-US" sz="900" i="1">
              <a:latin typeface="Arial" pitchFamily="34" charset="0"/>
              <a:cs typeface="Arial" pitchFamily="34" charset="0"/>
            </a:rPr>
            <a:t>                          Instructor</a:t>
          </a:r>
          <a:r>
            <a:rPr lang="en-US" sz="900" i="1" baseline="0">
              <a:latin typeface="Arial" pitchFamily="34" charset="0"/>
              <a:cs typeface="Arial" pitchFamily="34" charset="0"/>
            </a:rPr>
            <a:t> 1</a:t>
          </a:r>
          <a:r>
            <a:rPr lang="en-US" sz="900" i="1">
              <a:latin typeface="Arial" pitchFamily="34" charset="0"/>
              <a:cs typeface="Arial" pitchFamily="34" charset="0"/>
            </a:rPr>
            <a:t>                                           </a:t>
          </a:r>
          <a:r>
            <a:rPr lang="id-ID" sz="900" i="1" baseline="0">
              <a:latin typeface="Arial" pitchFamily="34" charset="0"/>
              <a:cs typeface="Arial" pitchFamily="34" charset="0"/>
            </a:rPr>
            <a:t> </a:t>
          </a:r>
          <a:r>
            <a:rPr lang="en-US" sz="900" i="1" baseline="0">
              <a:latin typeface="Arial" pitchFamily="34" charset="0"/>
              <a:cs typeface="Arial" pitchFamily="34" charset="0"/>
            </a:rPr>
            <a:t>   </a:t>
          </a:r>
          <a:r>
            <a:rPr lang="en-US" sz="900" i="1">
              <a:latin typeface="Arial" pitchFamily="34" charset="0"/>
              <a:cs typeface="Arial" pitchFamily="34" charset="0"/>
            </a:rPr>
            <a:t>Date</a:t>
          </a:r>
          <a:endParaRPr lang="en-US" sz="900">
            <a:latin typeface="Arial" pitchFamily="34" charset="0"/>
            <a:cs typeface="Arial" pitchFamily="34" charset="0"/>
          </a:endParaRPr>
        </a:p>
        <a:p>
          <a:r>
            <a:rPr lang="en-US" sz="900">
              <a:latin typeface="Arial" pitchFamily="34" charset="0"/>
              <a:cs typeface="Arial" pitchFamily="34" charset="0"/>
            </a:rPr>
            <a:t>Approved:</a:t>
          </a:r>
        </a:p>
        <a:p>
          <a:endParaRPr lang="en-US" sz="900">
            <a:latin typeface="Arial" pitchFamily="34" charset="0"/>
            <a:cs typeface="Arial" pitchFamily="34" charset="0"/>
          </a:endParaRPr>
        </a:p>
        <a:p>
          <a:r>
            <a:rPr lang="en-US" sz="900">
              <a:latin typeface="Arial" pitchFamily="34" charset="0"/>
              <a:cs typeface="Arial" pitchFamily="34" charset="0"/>
            </a:rPr>
            <a:t>   </a:t>
          </a:r>
          <a:r>
            <a:rPr lang="en-US" sz="900" b="1" baseline="0">
              <a:latin typeface="Arial" pitchFamily="34" charset="0"/>
              <a:cs typeface="Arial" pitchFamily="34" charset="0"/>
            </a:rPr>
            <a:t>         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MARILOU A. ALDEA, PhD 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</a:t>
          </a:r>
          <a:r>
            <a:rPr lang="en-US" sz="900">
              <a:latin typeface="Arial" pitchFamily="34" charset="0"/>
              <a:cs typeface="Arial" pitchFamily="34" charset="0"/>
            </a:rPr>
            <a:t>____________</a:t>
          </a:r>
        </a:p>
        <a:p>
          <a:r>
            <a:rPr lang="en-US" sz="900" i="1">
              <a:latin typeface="Arial" pitchFamily="34" charset="0"/>
              <a:cs typeface="Arial" pitchFamily="34" charset="0"/>
            </a:rPr>
            <a:t>                            Dean                                                      Date</a:t>
          </a:r>
        </a:p>
        <a:p>
          <a:endParaRPr lang="en-US" sz="900">
            <a:latin typeface="Arial" pitchFamily="34" charset="0"/>
            <a:cs typeface="Arial" pitchFamily="34" charset="0"/>
          </a:endParaRPr>
        </a:p>
        <a:p>
          <a:r>
            <a:rPr lang="en-US" sz="900" b="1">
              <a:latin typeface="Arial" pitchFamily="34" charset="0"/>
              <a:cs typeface="Arial" pitchFamily="34" charset="0"/>
            </a:rPr>
            <a:t>             SALVACION</a:t>
          </a:r>
          <a:r>
            <a:rPr lang="en-US" sz="900" b="1" baseline="0">
              <a:latin typeface="Arial" pitchFamily="34" charset="0"/>
              <a:cs typeface="Arial" pitchFamily="34" charset="0"/>
            </a:rPr>
            <a:t> B. MURILLO</a:t>
          </a:r>
          <a:r>
            <a:rPr lang="en-US" sz="900" b="1">
              <a:latin typeface="Arial" pitchFamily="34" charset="0"/>
              <a:cs typeface="Arial" pitchFamily="34" charset="0"/>
            </a:rPr>
            <a:t>, MPA            </a:t>
          </a:r>
          <a:r>
            <a:rPr lang="en-US" sz="900" b="1" baseline="0">
              <a:latin typeface="Arial" pitchFamily="34" charset="0"/>
              <a:cs typeface="Arial" pitchFamily="34" charset="0"/>
            </a:rPr>
            <a:t>     </a:t>
          </a:r>
          <a:r>
            <a:rPr lang="en-US" sz="900" b="1">
              <a:latin typeface="Arial" pitchFamily="34" charset="0"/>
              <a:cs typeface="Arial" pitchFamily="34" charset="0"/>
            </a:rPr>
            <a:t>_</a:t>
          </a:r>
          <a:r>
            <a:rPr lang="en-US" sz="900">
              <a:latin typeface="Arial" pitchFamily="34" charset="0"/>
              <a:cs typeface="Arial" pitchFamily="34" charset="0"/>
            </a:rPr>
            <a:t>___________</a:t>
          </a:r>
        </a:p>
        <a:p>
          <a:r>
            <a:rPr lang="en-US" sz="900" i="1">
              <a:latin typeface="Arial" pitchFamily="34" charset="0"/>
              <a:cs typeface="Arial" pitchFamily="34" charset="0"/>
            </a:rPr>
            <a:t>                     </a:t>
          </a:r>
          <a:r>
            <a:rPr lang="en-US" sz="900" i="0">
              <a:latin typeface="Arial" pitchFamily="34" charset="0"/>
              <a:cs typeface="Arial" pitchFamily="34" charset="0"/>
            </a:rPr>
            <a:t>Officer-In-Charge/AO</a:t>
          </a:r>
          <a:r>
            <a:rPr lang="en-US" sz="900" i="0" baseline="0">
              <a:latin typeface="Arial" pitchFamily="34" charset="0"/>
              <a:cs typeface="Arial" pitchFamily="34" charset="0"/>
            </a:rPr>
            <a:t> IV</a:t>
          </a:r>
          <a:r>
            <a:rPr lang="en-US" sz="900" i="0">
              <a:latin typeface="Arial" pitchFamily="34" charset="0"/>
              <a:cs typeface="Arial" pitchFamily="34" charset="0"/>
            </a:rPr>
            <a:t>                      </a:t>
          </a:r>
          <a:r>
            <a:rPr lang="en-US" sz="900" i="0" baseline="0">
              <a:latin typeface="Arial" pitchFamily="34" charset="0"/>
              <a:cs typeface="Arial" pitchFamily="34" charset="0"/>
            </a:rPr>
            <a:t>      </a:t>
          </a:r>
          <a:r>
            <a:rPr lang="en-US" sz="900" i="0">
              <a:latin typeface="Arial" pitchFamily="34" charset="0"/>
              <a:cs typeface="Arial" pitchFamily="34" charset="0"/>
            </a:rPr>
            <a:t>   </a:t>
          </a:r>
          <a:r>
            <a:rPr lang="en-US" sz="900" i="1">
              <a:latin typeface="Arial" pitchFamily="34" charset="0"/>
              <a:cs typeface="Arial" pitchFamily="34" charset="0"/>
            </a:rPr>
            <a:t>Date</a:t>
          </a:r>
        </a:p>
        <a:p>
          <a:r>
            <a:rPr lang="en-US" sz="900" i="1" baseline="0">
              <a:latin typeface="Arial" pitchFamily="34" charset="0"/>
              <a:cs typeface="Arial" pitchFamily="34" charset="0"/>
            </a:rPr>
            <a:t>                       University Registrar II</a:t>
          </a:r>
          <a:endParaRPr lang="en-US" sz="900" i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10</xdr:col>
      <xdr:colOff>6350</xdr:colOff>
      <xdr:row>16</xdr:row>
      <xdr:rowOff>0</xdr:rowOff>
    </xdr:from>
    <xdr:to>
      <xdr:col>11</xdr:col>
      <xdr:colOff>12792</xdr:colOff>
      <xdr:row>16</xdr:row>
      <xdr:rowOff>12193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D61F11C-3062-48CD-ADBF-62EDB79CD0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50000" y="2235200"/>
          <a:ext cx="1066892" cy="1219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65128</xdr:colOff>
      <xdr:row>66</xdr:row>
      <xdr:rowOff>56296</xdr:rowOff>
    </xdr:from>
    <xdr:to>
      <xdr:col>3</xdr:col>
      <xdr:colOff>293727</xdr:colOff>
      <xdr:row>70</xdr:row>
      <xdr:rowOff>172558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E18E6CF-3E1A-41A5-8D53-D12D9945C1B1}"/>
            </a:ext>
          </a:extLst>
        </xdr:cNvPr>
        <xdr:cNvSpPr txBox="1"/>
      </xdr:nvSpPr>
      <xdr:spPr>
        <a:xfrm>
          <a:off x="65128" y="9819014"/>
          <a:ext cx="3550137" cy="845698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800" b="1">
              <a:latin typeface="Arial" pitchFamily="34" charset="0"/>
              <a:cs typeface="Arial" pitchFamily="34" charset="0"/>
            </a:rPr>
            <a:t>OFFICIAL MARKS:</a:t>
          </a:r>
        </a:p>
        <a:p>
          <a:r>
            <a:rPr lang="en-US" sz="800">
              <a:latin typeface="Arial" pitchFamily="34" charset="0"/>
              <a:cs typeface="Arial" pitchFamily="34" charset="0"/>
            </a:rPr>
            <a:t>1.0-99-100%     1.5-94%       2.0-87-89%      2.5-82%       3.0-75-77%</a:t>
          </a:r>
        </a:p>
        <a:p>
          <a:r>
            <a:rPr lang="en-US" sz="800">
              <a:latin typeface="Arial" pitchFamily="34" charset="0"/>
              <a:cs typeface="Arial" pitchFamily="34" charset="0"/>
            </a:rPr>
            <a:t>1.1-98%            1.6-93%       2.1-86%           2.6-81%       4.0-Conditional</a:t>
          </a:r>
        </a:p>
        <a:p>
          <a:r>
            <a:rPr lang="en-US" sz="800">
              <a:latin typeface="Arial" pitchFamily="34" charset="0"/>
              <a:cs typeface="Arial" pitchFamily="34" charset="0"/>
            </a:rPr>
            <a:t>1.2-97%            1.7-92%       2.2-85%           2.7-80%       5.0-Failed</a:t>
          </a:r>
        </a:p>
        <a:p>
          <a:r>
            <a:rPr lang="en-US" sz="800">
              <a:latin typeface="Arial" pitchFamily="34" charset="0"/>
              <a:cs typeface="Arial" pitchFamily="34" charset="0"/>
            </a:rPr>
            <a:t>1.3-96%            1.8-91%       2.3-84%           2.8-79%       INC-Incomplete   </a:t>
          </a:r>
        </a:p>
        <a:p>
          <a:r>
            <a:rPr lang="en-US" sz="800">
              <a:latin typeface="Arial" pitchFamily="34" charset="0"/>
              <a:cs typeface="Arial" pitchFamily="34" charset="0"/>
            </a:rPr>
            <a:t>1.4-95%            1.9-90%       2.4-83%           2.9-78%       DRP-Dropped</a:t>
          </a:r>
        </a:p>
        <a:p>
          <a:r>
            <a:rPr lang="en-US" sz="800" b="1">
              <a:latin typeface="Arial" pitchFamily="34" charset="0"/>
              <a:cs typeface="Arial" pitchFamily="34" charset="0"/>
            </a:rPr>
            <a:t>IMPORTANT :</a:t>
          </a:r>
        </a:p>
        <a:p>
          <a:r>
            <a:rPr lang="en-US" sz="800">
              <a:latin typeface="Arial" pitchFamily="34" charset="0"/>
              <a:cs typeface="Arial" pitchFamily="34" charset="0"/>
            </a:rPr>
            <a:t>1. Due at the OARS within 5 working days after close of term.</a:t>
          </a:r>
        </a:p>
        <a:p>
          <a:r>
            <a:rPr lang="en-US" sz="800">
              <a:latin typeface="Arial" pitchFamily="34" charset="0"/>
              <a:cs typeface="Arial" pitchFamily="34" charset="0"/>
            </a:rPr>
            <a:t>2.  Erasure/Alteration is </a:t>
          </a:r>
          <a:r>
            <a:rPr lang="en-US" sz="800" b="1">
              <a:latin typeface="Arial" pitchFamily="34" charset="0"/>
              <a:cs typeface="Arial" pitchFamily="34" charset="0"/>
            </a:rPr>
            <a:t>NOT ALLOWED</a:t>
          </a:r>
          <a:r>
            <a:rPr lang="en-US" sz="800">
              <a:latin typeface="Arial" pitchFamily="34" charset="0"/>
              <a:cs typeface="Arial" pitchFamily="34" charset="0"/>
            </a:rPr>
            <a:t>. The Registrar reserves the right to refuse acceptance of grade sheets with erasure and/or alteration.</a:t>
          </a:r>
        </a:p>
        <a:p>
          <a:r>
            <a:rPr lang="en-US" sz="800">
              <a:latin typeface="Arial" pitchFamily="34" charset="0"/>
              <a:cs typeface="Arial" pitchFamily="34" charset="0"/>
            </a:rPr>
            <a:t>3. To be submitted by the Dean or his/her authorized representatives not by students.</a:t>
          </a:r>
        </a:p>
      </xdr:txBody>
    </xdr:sp>
    <xdr:clientData/>
  </xdr:twoCellAnchor>
  <xdr:twoCellAnchor>
    <xdr:from>
      <xdr:col>0</xdr:col>
      <xdr:colOff>44775</xdr:colOff>
      <xdr:row>72</xdr:row>
      <xdr:rowOff>191726</xdr:rowOff>
    </xdr:from>
    <xdr:to>
      <xdr:col>10</xdr:col>
      <xdr:colOff>1021087</xdr:colOff>
      <xdr:row>72</xdr:row>
      <xdr:rowOff>191726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E835329E-0CB2-4B18-B07F-02D5E16ADA05}"/>
            </a:ext>
          </a:extLst>
        </xdr:cNvPr>
        <xdr:cNvCxnSpPr/>
      </xdr:nvCxnSpPr>
      <xdr:spPr>
        <a:xfrm>
          <a:off x="44775" y="12136239"/>
          <a:ext cx="7319799" cy="0"/>
        </a:xfrm>
        <a:prstGeom prst="line">
          <a:avLst/>
        </a:prstGeom>
        <a:ln w="28575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428089</xdr:colOff>
      <xdr:row>4</xdr:row>
      <xdr:rowOff>181938</xdr:rowOff>
    </xdr:from>
    <xdr:to>
      <xdr:col>2</xdr:col>
      <xdr:colOff>13026</xdr:colOff>
      <xdr:row>4</xdr:row>
      <xdr:rowOff>182359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5DCAA760-EA83-4C2C-A315-1E1C5625E34D}"/>
            </a:ext>
          </a:extLst>
        </xdr:cNvPr>
        <xdr:cNvCxnSpPr/>
      </xdr:nvCxnSpPr>
      <xdr:spPr>
        <a:xfrm>
          <a:off x="734192" y="748553"/>
          <a:ext cx="542321" cy="42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6921</xdr:colOff>
      <xdr:row>12</xdr:row>
      <xdr:rowOff>156753</xdr:rowOff>
    </xdr:from>
    <xdr:to>
      <xdr:col>11</xdr:col>
      <xdr:colOff>6921</xdr:colOff>
      <xdr:row>12</xdr:row>
      <xdr:rowOff>156753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51732A68-FF9E-4E7A-A95B-C3AEB8470301}"/>
            </a:ext>
          </a:extLst>
        </xdr:cNvPr>
        <xdr:cNvCxnSpPr/>
      </xdr:nvCxnSpPr>
      <xdr:spPr>
        <a:xfrm>
          <a:off x="6354381" y="1764573"/>
          <a:ext cx="105156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2814</xdr:colOff>
      <xdr:row>13</xdr:row>
      <xdr:rowOff>148457</xdr:rowOff>
    </xdr:from>
    <xdr:to>
      <xdr:col>11</xdr:col>
      <xdr:colOff>2814</xdr:colOff>
      <xdr:row>13</xdr:row>
      <xdr:rowOff>148457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CDA808CC-EE85-4B6D-93AB-BE7F9E62AE5F}"/>
            </a:ext>
          </a:extLst>
        </xdr:cNvPr>
        <xdr:cNvCxnSpPr/>
      </xdr:nvCxnSpPr>
      <xdr:spPr>
        <a:xfrm>
          <a:off x="6350274" y="1916297"/>
          <a:ext cx="105156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8965</xdr:colOff>
      <xdr:row>14</xdr:row>
      <xdr:rowOff>160270</xdr:rowOff>
    </xdr:from>
    <xdr:to>
      <xdr:col>11</xdr:col>
      <xdr:colOff>11570</xdr:colOff>
      <xdr:row>14</xdr:row>
      <xdr:rowOff>160270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7ADD7F2-6D46-459A-897B-97E302DE0F78}"/>
            </a:ext>
          </a:extLst>
        </xdr:cNvPr>
        <xdr:cNvCxnSpPr/>
      </xdr:nvCxnSpPr>
      <xdr:spPr>
        <a:xfrm>
          <a:off x="6356425" y="2080510"/>
          <a:ext cx="105416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643707</xdr:colOff>
      <xdr:row>16</xdr:row>
      <xdr:rowOff>1931</xdr:rowOff>
    </xdr:from>
    <xdr:to>
      <xdr:col>11</xdr:col>
      <xdr:colOff>0</xdr:colOff>
      <xdr:row>16</xdr:row>
      <xdr:rowOff>6513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CAE48ED1-172A-44B0-B4FA-A634E6A4D723}"/>
            </a:ext>
          </a:extLst>
        </xdr:cNvPr>
        <xdr:cNvCxnSpPr/>
      </xdr:nvCxnSpPr>
      <xdr:spPr>
        <a:xfrm>
          <a:off x="6343467" y="2242211"/>
          <a:ext cx="1055553" cy="458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59846</xdr:colOff>
      <xdr:row>0</xdr:row>
      <xdr:rowOff>0</xdr:rowOff>
    </xdr:from>
    <xdr:to>
      <xdr:col>1</xdr:col>
      <xdr:colOff>320386</xdr:colOff>
      <xdr:row>3</xdr:row>
      <xdr:rowOff>2886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6B19443-8613-4247-A27E-A87F70AD1B6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846" y="0"/>
          <a:ext cx="565340" cy="482946"/>
        </a:xfrm>
        <a:prstGeom prst="rect">
          <a:avLst/>
        </a:prstGeom>
        <a:noFill/>
      </xdr:spPr>
    </xdr:pic>
    <xdr:clientData/>
  </xdr:twoCellAnchor>
  <xdr:twoCellAnchor>
    <xdr:from>
      <xdr:col>0</xdr:col>
      <xdr:colOff>17318</xdr:colOff>
      <xdr:row>4</xdr:row>
      <xdr:rowOff>0</xdr:rowOff>
    </xdr:from>
    <xdr:to>
      <xdr:col>10</xdr:col>
      <xdr:colOff>1000125</xdr:colOff>
      <xdr:row>4</xdr:row>
      <xdr:rowOff>23813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167C5867-280D-46A6-B092-A7DFFD350912}"/>
            </a:ext>
          </a:extLst>
        </xdr:cNvPr>
        <xdr:cNvCxnSpPr/>
      </xdr:nvCxnSpPr>
      <xdr:spPr>
        <a:xfrm>
          <a:off x="17318" y="563880"/>
          <a:ext cx="7330267" cy="23813"/>
        </a:xfrm>
        <a:prstGeom prst="line">
          <a:avLst/>
        </a:prstGeom>
        <a:ln w="28575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34636</xdr:colOff>
      <xdr:row>0</xdr:row>
      <xdr:rowOff>17318</xdr:rowOff>
    </xdr:from>
    <xdr:to>
      <xdr:col>11</xdr:col>
      <xdr:colOff>0</xdr:colOff>
      <xdr:row>3</xdr:row>
      <xdr:rowOff>51954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7FF4CF4-C4D0-4B38-B3CF-62D732119D70}"/>
            </a:ext>
          </a:extLst>
        </xdr:cNvPr>
        <xdr:cNvSpPr txBox="1"/>
      </xdr:nvSpPr>
      <xdr:spPr>
        <a:xfrm>
          <a:off x="6382096" y="17318"/>
          <a:ext cx="1016924" cy="51469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 editAs="oneCell">
    <xdr:from>
      <xdr:col>9</xdr:col>
      <xdr:colOff>358632</xdr:colOff>
      <xdr:row>0</xdr:row>
      <xdr:rowOff>18761</xdr:rowOff>
    </xdr:from>
    <xdr:to>
      <xdr:col>10</xdr:col>
      <xdr:colOff>769938</xdr:colOff>
      <xdr:row>3</xdr:row>
      <xdr:rowOff>0</xdr:rowOff>
    </xdr:to>
    <xdr:pic>
      <xdr:nvPicPr>
        <xdr:cNvPr id="12" name="officeArt object" descr="E:\Desktop\Joson\ETjoson documents\ETJ\ISO FORM OTR, DIP, LOGO\TR-Testmark_9108633846_EN_CMYK_without-QR-NEW LOGO.jpg">
          <a:extLst>
            <a:ext uri="{FF2B5EF4-FFF2-40B4-BE49-F238E27FC236}">
              <a16:creationId xmlns:a16="http://schemas.microsoft.com/office/drawing/2014/main" id="{BA7780DF-8B40-4E41-BBD1-B8A9DBF668F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058392" y="18761"/>
          <a:ext cx="1059006" cy="461299"/>
        </a:xfrm>
        <a:prstGeom prst="rect">
          <a:avLst/>
        </a:prstGeom>
        <a:ln w="12700" cap="flat">
          <a:noFill/>
          <a:miter lim="400000"/>
          <a:headEnd/>
          <a:tailEnd/>
        </a:ln>
        <a:effectLst/>
      </xdr:spPr>
    </xdr:pic>
    <xdr:clientData/>
  </xdr:twoCellAnchor>
  <xdr:twoCellAnchor>
    <xdr:from>
      <xdr:col>4</xdr:col>
      <xdr:colOff>25562</xdr:colOff>
      <xdr:row>66</xdr:row>
      <xdr:rowOff>25237</xdr:rowOff>
    </xdr:from>
    <xdr:to>
      <xdr:col>10</xdr:col>
      <xdr:colOff>908213</xdr:colOff>
      <xdr:row>70</xdr:row>
      <xdr:rowOff>178906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AB43AAE-415C-4E94-BABD-5EE9226745E1}"/>
            </a:ext>
          </a:extLst>
        </xdr:cNvPr>
        <xdr:cNvSpPr txBox="1"/>
      </xdr:nvSpPr>
      <xdr:spPr>
        <a:xfrm>
          <a:off x="3835562" y="10198263"/>
          <a:ext cx="3416138" cy="831002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850">
              <a:latin typeface="Arial" pitchFamily="34" charset="0"/>
              <a:cs typeface="Arial" pitchFamily="34" charset="0"/>
            </a:rPr>
            <a:t>Respectfully submitted:</a:t>
          </a:r>
        </a:p>
        <a:p>
          <a:endParaRPr lang="en-US" sz="850">
            <a:latin typeface="Arial" pitchFamily="34" charset="0"/>
            <a:cs typeface="Arial" pitchFamily="34" charset="0"/>
          </a:endParaRPr>
        </a:p>
        <a:p>
          <a:endParaRPr lang="en-US" sz="850">
            <a:latin typeface="Arial" pitchFamily="34" charset="0"/>
            <a:cs typeface="Arial" pitchFamily="34" charset="0"/>
          </a:endParaRPr>
        </a:p>
        <a:p>
          <a:pPr algn="l"/>
          <a:r>
            <a:rPr lang="en-US" sz="850" b="1" i="0" u="none" strike="noStrike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JEIHLA</a:t>
          </a:r>
          <a:r>
            <a:rPr lang="en-US" sz="850" b="1" i="0" u="none" strike="noStrike" baseline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MARIE VALEZA                            </a:t>
          </a:r>
          <a:r>
            <a:rPr lang="en-US" sz="850" baseline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___________</a:t>
          </a:r>
          <a:endParaRPr lang="en-US" sz="850">
            <a:latin typeface="Arial" pitchFamily="34" charset="0"/>
            <a:cs typeface="Arial" pitchFamily="34" charset="0"/>
          </a:endParaRPr>
        </a:p>
        <a:p>
          <a:r>
            <a:rPr lang="en-US" sz="850" i="1">
              <a:latin typeface="Arial" pitchFamily="34" charset="0"/>
              <a:cs typeface="Arial" pitchFamily="34" charset="0"/>
            </a:rPr>
            <a:t>                   Instructor</a:t>
          </a:r>
          <a:r>
            <a:rPr lang="en-US" sz="850" i="1" baseline="0">
              <a:latin typeface="Arial" pitchFamily="34" charset="0"/>
              <a:cs typeface="Arial" pitchFamily="34" charset="0"/>
            </a:rPr>
            <a:t> 1</a:t>
          </a:r>
          <a:r>
            <a:rPr lang="en-US" sz="850" i="1">
              <a:latin typeface="Arial" pitchFamily="34" charset="0"/>
              <a:cs typeface="Arial" pitchFamily="34" charset="0"/>
            </a:rPr>
            <a:t>                                           </a:t>
          </a:r>
          <a:r>
            <a:rPr lang="id-ID" sz="850" i="1" baseline="0">
              <a:latin typeface="Arial" pitchFamily="34" charset="0"/>
              <a:cs typeface="Arial" pitchFamily="34" charset="0"/>
            </a:rPr>
            <a:t> </a:t>
          </a:r>
          <a:r>
            <a:rPr lang="en-US" sz="850" i="1" baseline="0">
              <a:latin typeface="Arial" pitchFamily="34" charset="0"/>
              <a:cs typeface="Arial" pitchFamily="34" charset="0"/>
            </a:rPr>
            <a:t>   </a:t>
          </a:r>
          <a:r>
            <a:rPr lang="en-US" sz="850" i="1">
              <a:latin typeface="Arial" pitchFamily="34" charset="0"/>
              <a:cs typeface="Arial" pitchFamily="34" charset="0"/>
            </a:rPr>
            <a:t>Date</a:t>
          </a:r>
        </a:p>
        <a:p>
          <a:endParaRPr lang="en-US" sz="850">
            <a:latin typeface="Arial" pitchFamily="34" charset="0"/>
            <a:cs typeface="Arial" pitchFamily="34" charset="0"/>
          </a:endParaRPr>
        </a:p>
        <a:p>
          <a:endParaRPr lang="en-US" sz="850">
            <a:latin typeface="Arial" pitchFamily="34" charset="0"/>
            <a:cs typeface="Arial" pitchFamily="34" charset="0"/>
          </a:endParaRPr>
        </a:p>
        <a:p>
          <a:r>
            <a:rPr lang="en-US" sz="850">
              <a:latin typeface="Arial" pitchFamily="34" charset="0"/>
              <a:cs typeface="Arial" pitchFamily="34" charset="0"/>
            </a:rPr>
            <a:t>Approved:</a:t>
          </a:r>
        </a:p>
        <a:p>
          <a:endParaRPr lang="en-US" sz="850">
            <a:latin typeface="Arial" pitchFamily="34" charset="0"/>
            <a:cs typeface="Arial" pitchFamily="34" charset="0"/>
          </a:endParaRPr>
        </a:p>
        <a:p>
          <a:r>
            <a:rPr lang="en-US" sz="850">
              <a:latin typeface="Arial" pitchFamily="34" charset="0"/>
              <a:cs typeface="Arial" pitchFamily="34" charset="0"/>
            </a:rPr>
            <a:t>   </a:t>
          </a:r>
          <a:r>
            <a:rPr lang="en-US" sz="850" b="1" baseline="0">
              <a:latin typeface="Arial" pitchFamily="34" charset="0"/>
              <a:cs typeface="Arial" pitchFamily="34" charset="0"/>
            </a:rPr>
            <a:t>    MARILOU A. ALDEA, PhD  </a:t>
          </a:r>
          <a:r>
            <a:rPr lang="en-US" sz="850" baseline="0">
              <a:latin typeface="Arial" pitchFamily="34" charset="0"/>
              <a:cs typeface="Arial" pitchFamily="34" charset="0"/>
            </a:rPr>
            <a:t>                       </a:t>
          </a:r>
          <a:r>
            <a:rPr lang="en-US" sz="850">
              <a:latin typeface="Arial" pitchFamily="34" charset="0"/>
              <a:cs typeface="Arial" pitchFamily="34" charset="0"/>
            </a:rPr>
            <a:t>____________</a:t>
          </a:r>
        </a:p>
        <a:p>
          <a:r>
            <a:rPr lang="en-US" sz="850" i="1">
              <a:latin typeface="Arial" pitchFamily="34" charset="0"/>
              <a:cs typeface="Arial" pitchFamily="34" charset="0"/>
            </a:rPr>
            <a:t>                     Dean                                                      Date</a:t>
          </a:r>
        </a:p>
        <a:p>
          <a:endParaRPr lang="en-US" sz="850">
            <a:latin typeface="Arial" pitchFamily="34" charset="0"/>
            <a:cs typeface="Arial" pitchFamily="34" charset="0"/>
          </a:endParaRPr>
        </a:p>
        <a:p>
          <a:endParaRPr lang="en-US" sz="850">
            <a:latin typeface="Arial" pitchFamily="34" charset="0"/>
            <a:cs typeface="Arial" pitchFamily="34" charset="0"/>
          </a:endParaRPr>
        </a:p>
        <a:p>
          <a:r>
            <a:rPr lang="en-US" sz="850" b="1">
              <a:latin typeface="Arial" pitchFamily="34" charset="0"/>
              <a:cs typeface="Arial" pitchFamily="34" charset="0"/>
            </a:rPr>
            <a:t>    </a:t>
          </a:r>
          <a:r>
            <a:rPr lang="en-US" sz="850" b="1" baseline="0">
              <a:latin typeface="Arial" pitchFamily="34" charset="0"/>
              <a:cs typeface="Arial" pitchFamily="34" charset="0"/>
            </a:rPr>
            <a:t> </a:t>
          </a:r>
          <a:r>
            <a:rPr lang="en-US" sz="850" b="1">
              <a:latin typeface="Arial" pitchFamily="34" charset="0"/>
              <a:cs typeface="Arial" pitchFamily="34" charset="0"/>
            </a:rPr>
            <a:t>SALVACION</a:t>
          </a:r>
          <a:r>
            <a:rPr lang="en-US" sz="850" b="1" baseline="0">
              <a:latin typeface="Arial" pitchFamily="34" charset="0"/>
              <a:cs typeface="Arial" pitchFamily="34" charset="0"/>
            </a:rPr>
            <a:t> B. MURILLO</a:t>
          </a:r>
          <a:r>
            <a:rPr lang="en-US" sz="850" b="1">
              <a:latin typeface="Arial" pitchFamily="34" charset="0"/>
              <a:cs typeface="Arial" pitchFamily="34" charset="0"/>
            </a:rPr>
            <a:t>, MPA            </a:t>
          </a:r>
          <a:r>
            <a:rPr lang="en-US" sz="850" b="1" baseline="0">
              <a:latin typeface="Arial" pitchFamily="34" charset="0"/>
              <a:cs typeface="Arial" pitchFamily="34" charset="0"/>
            </a:rPr>
            <a:t>      </a:t>
          </a:r>
          <a:r>
            <a:rPr lang="en-US" sz="850" b="1">
              <a:latin typeface="Arial" pitchFamily="34" charset="0"/>
              <a:cs typeface="Arial" pitchFamily="34" charset="0"/>
            </a:rPr>
            <a:t>_</a:t>
          </a:r>
          <a:r>
            <a:rPr lang="en-US" sz="850">
              <a:latin typeface="Arial" pitchFamily="34" charset="0"/>
              <a:cs typeface="Arial" pitchFamily="34" charset="0"/>
            </a:rPr>
            <a:t>___________</a:t>
          </a:r>
        </a:p>
        <a:p>
          <a:r>
            <a:rPr lang="en-US" sz="850" i="1">
              <a:latin typeface="Arial" pitchFamily="34" charset="0"/>
              <a:cs typeface="Arial" pitchFamily="34" charset="0"/>
            </a:rPr>
            <a:t>              </a:t>
          </a:r>
          <a:r>
            <a:rPr lang="en-US" sz="850" i="0">
              <a:latin typeface="Arial" pitchFamily="34" charset="0"/>
              <a:cs typeface="Arial" pitchFamily="34" charset="0"/>
            </a:rPr>
            <a:t>Officer-In-Charge/AO</a:t>
          </a:r>
          <a:r>
            <a:rPr lang="en-US" sz="850" i="0" baseline="0">
              <a:latin typeface="Arial" pitchFamily="34" charset="0"/>
              <a:cs typeface="Arial" pitchFamily="34" charset="0"/>
            </a:rPr>
            <a:t> IV</a:t>
          </a:r>
          <a:r>
            <a:rPr lang="en-US" sz="850" i="0">
              <a:latin typeface="Arial" pitchFamily="34" charset="0"/>
              <a:cs typeface="Arial" pitchFamily="34" charset="0"/>
            </a:rPr>
            <a:t>                      </a:t>
          </a:r>
          <a:r>
            <a:rPr lang="en-US" sz="850" i="0" baseline="0">
              <a:latin typeface="Arial" pitchFamily="34" charset="0"/>
              <a:cs typeface="Arial" pitchFamily="34" charset="0"/>
            </a:rPr>
            <a:t>      </a:t>
          </a:r>
          <a:r>
            <a:rPr lang="en-US" sz="850" i="0">
              <a:latin typeface="Arial" pitchFamily="34" charset="0"/>
              <a:cs typeface="Arial" pitchFamily="34" charset="0"/>
            </a:rPr>
            <a:t>   </a:t>
          </a:r>
          <a:r>
            <a:rPr lang="en-US" sz="850" i="1">
              <a:latin typeface="Arial" pitchFamily="34" charset="0"/>
              <a:cs typeface="Arial" pitchFamily="34" charset="0"/>
            </a:rPr>
            <a:t>Date</a:t>
          </a:r>
        </a:p>
        <a:p>
          <a:r>
            <a:rPr lang="en-US" sz="850" i="1" baseline="0">
              <a:latin typeface="Arial" pitchFamily="34" charset="0"/>
              <a:cs typeface="Arial" pitchFamily="34" charset="0"/>
            </a:rPr>
            <a:t>               University Registrar II</a:t>
          </a:r>
          <a:endParaRPr lang="en-US" sz="850" i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10</xdr:col>
      <xdr:colOff>6350</xdr:colOff>
      <xdr:row>11</xdr:row>
      <xdr:rowOff>0</xdr:rowOff>
    </xdr:from>
    <xdr:to>
      <xdr:col>11</xdr:col>
      <xdr:colOff>13046</xdr:colOff>
      <xdr:row>11</xdr:row>
      <xdr:rowOff>12193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B194926-0200-4667-8537-F66D52C66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53810" y="1447800"/>
          <a:ext cx="1058256" cy="1219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71</xdr:row>
      <xdr:rowOff>10705</xdr:rowOff>
    </xdr:from>
    <xdr:to>
      <xdr:col>3</xdr:col>
      <xdr:colOff>228600</xdr:colOff>
      <xdr:row>75</xdr:row>
      <xdr:rowOff>704850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 txBox="1"/>
      </xdr:nvSpPr>
      <xdr:spPr>
        <a:xfrm>
          <a:off x="1" y="11015255"/>
          <a:ext cx="3549649" cy="143074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800" b="1">
              <a:latin typeface="Arial" pitchFamily="34" charset="0"/>
              <a:cs typeface="Arial" pitchFamily="34" charset="0"/>
            </a:rPr>
            <a:t>OFFICIAL MARKS:</a:t>
          </a:r>
        </a:p>
        <a:p>
          <a:r>
            <a:rPr lang="en-US" sz="800">
              <a:latin typeface="Arial" pitchFamily="34" charset="0"/>
              <a:cs typeface="Arial" pitchFamily="34" charset="0"/>
            </a:rPr>
            <a:t>1.0-99-100%     1.5-94%       2.0-87-89%      2.5-82%       3.0-75-77%</a:t>
          </a:r>
        </a:p>
        <a:p>
          <a:r>
            <a:rPr lang="en-US" sz="800">
              <a:latin typeface="Arial" pitchFamily="34" charset="0"/>
              <a:cs typeface="Arial" pitchFamily="34" charset="0"/>
            </a:rPr>
            <a:t>1.1-98%            1.6-93%       2.1-86%           2.6-81%       4.0-Conditional</a:t>
          </a:r>
        </a:p>
        <a:p>
          <a:r>
            <a:rPr lang="en-US" sz="800">
              <a:latin typeface="Arial" pitchFamily="34" charset="0"/>
              <a:cs typeface="Arial" pitchFamily="34" charset="0"/>
            </a:rPr>
            <a:t>1.2-97%            1.7-92%       2.2-85%           2.7-80%       5.0-Failed</a:t>
          </a:r>
        </a:p>
        <a:p>
          <a:r>
            <a:rPr lang="en-US" sz="800">
              <a:latin typeface="Arial" pitchFamily="34" charset="0"/>
              <a:cs typeface="Arial" pitchFamily="34" charset="0"/>
            </a:rPr>
            <a:t>1.3-96%            1.8-91%       2.3-84%           2.8-79%       INC-Incomplete   </a:t>
          </a:r>
        </a:p>
        <a:p>
          <a:r>
            <a:rPr lang="en-US" sz="800">
              <a:latin typeface="Arial" pitchFamily="34" charset="0"/>
              <a:cs typeface="Arial" pitchFamily="34" charset="0"/>
            </a:rPr>
            <a:t>1.4-95%            1.9-90%       2.4-83%           2.9-78%       DRP-Dropped</a:t>
          </a:r>
        </a:p>
        <a:p>
          <a:r>
            <a:rPr lang="en-US" sz="800" b="1">
              <a:latin typeface="Arial" pitchFamily="34" charset="0"/>
              <a:cs typeface="Arial" pitchFamily="34" charset="0"/>
            </a:rPr>
            <a:t>IMPORTANT :</a:t>
          </a:r>
        </a:p>
        <a:p>
          <a:r>
            <a:rPr lang="en-US" sz="800">
              <a:latin typeface="Arial" pitchFamily="34" charset="0"/>
              <a:cs typeface="Arial" pitchFamily="34" charset="0"/>
            </a:rPr>
            <a:t>1. Due at the OARS within 5 working days after close of term.</a:t>
          </a:r>
        </a:p>
        <a:p>
          <a:r>
            <a:rPr lang="en-US" sz="800">
              <a:latin typeface="Arial" pitchFamily="34" charset="0"/>
              <a:cs typeface="Arial" pitchFamily="34" charset="0"/>
            </a:rPr>
            <a:t>2.  Erasure/Alteration is </a:t>
          </a:r>
          <a:r>
            <a:rPr lang="en-US" sz="800" b="1">
              <a:latin typeface="Arial" pitchFamily="34" charset="0"/>
              <a:cs typeface="Arial" pitchFamily="34" charset="0"/>
            </a:rPr>
            <a:t>NOT ALLOWED</a:t>
          </a:r>
          <a:r>
            <a:rPr lang="en-US" sz="800">
              <a:latin typeface="Arial" pitchFamily="34" charset="0"/>
              <a:cs typeface="Arial" pitchFamily="34" charset="0"/>
            </a:rPr>
            <a:t>. The Registrar reserves the right to refuse acceptance of grade sheets with erasure and/or alteration.</a:t>
          </a:r>
        </a:p>
        <a:p>
          <a:r>
            <a:rPr lang="en-US" sz="800">
              <a:latin typeface="Arial" pitchFamily="34" charset="0"/>
              <a:cs typeface="Arial" pitchFamily="34" charset="0"/>
            </a:rPr>
            <a:t>3. To be submitted by the Dean or his/her authorized representatives not by students.</a:t>
          </a:r>
        </a:p>
      </xdr:txBody>
    </xdr:sp>
    <xdr:clientData/>
  </xdr:twoCellAnchor>
  <xdr:twoCellAnchor>
    <xdr:from>
      <xdr:col>0</xdr:col>
      <xdr:colOff>38796</xdr:colOff>
      <xdr:row>75</xdr:row>
      <xdr:rowOff>1020738</xdr:rowOff>
    </xdr:from>
    <xdr:to>
      <xdr:col>10</xdr:col>
      <xdr:colOff>1015108</xdr:colOff>
      <xdr:row>75</xdr:row>
      <xdr:rowOff>1024438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CxnSpPr/>
      </xdr:nvCxnSpPr>
      <xdr:spPr>
        <a:xfrm>
          <a:off x="38796" y="12044754"/>
          <a:ext cx="7322148" cy="3700"/>
        </a:xfrm>
        <a:prstGeom prst="line">
          <a:avLst/>
        </a:prstGeom>
        <a:ln w="28575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428089</xdr:colOff>
      <xdr:row>4</xdr:row>
      <xdr:rowOff>181938</xdr:rowOff>
    </xdr:from>
    <xdr:to>
      <xdr:col>2</xdr:col>
      <xdr:colOff>0</xdr:colOff>
      <xdr:row>4</xdr:row>
      <xdr:rowOff>182359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CxnSpPr/>
      </xdr:nvCxnSpPr>
      <xdr:spPr>
        <a:xfrm>
          <a:off x="734192" y="748553"/>
          <a:ext cx="529295" cy="42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6921</xdr:colOff>
      <xdr:row>12</xdr:row>
      <xdr:rowOff>156753</xdr:rowOff>
    </xdr:from>
    <xdr:to>
      <xdr:col>11</xdr:col>
      <xdr:colOff>6921</xdr:colOff>
      <xdr:row>12</xdr:row>
      <xdr:rowOff>156753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CxnSpPr/>
      </xdr:nvCxnSpPr>
      <xdr:spPr>
        <a:xfrm>
          <a:off x="6350408" y="1778445"/>
          <a:ext cx="104856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2814</xdr:colOff>
      <xdr:row>13</xdr:row>
      <xdr:rowOff>148457</xdr:rowOff>
    </xdr:from>
    <xdr:to>
      <xdr:col>11</xdr:col>
      <xdr:colOff>2814</xdr:colOff>
      <xdr:row>13</xdr:row>
      <xdr:rowOff>148457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CxnSpPr/>
      </xdr:nvCxnSpPr>
      <xdr:spPr>
        <a:xfrm>
          <a:off x="6346301" y="1932970"/>
          <a:ext cx="1048564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8965</xdr:colOff>
      <xdr:row>14</xdr:row>
      <xdr:rowOff>160270</xdr:rowOff>
    </xdr:from>
    <xdr:to>
      <xdr:col>11</xdr:col>
      <xdr:colOff>11570</xdr:colOff>
      <xdr:row>14</xdr:row>
      <xdr:rowOff>160270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CxnSpPr/>
      </xdr:nvCxnSpPr>
      <xdr:spPr>
        <a:xfrm>
          <a:off x="6352452" y="2094578"/>
          <a:ext cx="105116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6625</xdr:colOff>
      <xdr:row>15</xdr:row>
      <xdr:rowOff>158079</xdr:rowOff>
    </xdr:from>
    <xdr:to>
      <xdr:col>11</xdr:col>
      <xdr:colOff>12492</xdr:colOff>
      <xdr:row>16</xdr:row>
      <xdr:rowOff>267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CxnSpPr/>
      </xdr:nvCxnSpPr>
      <xdr:spPr>
        <a:xfrm>
          <a:off x="6352461" y="2306669"/>
          <a:ext cx="1055179" cy="458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59846</xdr:colOff>
      <xdr:row>0</xdr:row>
      <xdr:rowOff>0</xdr:rowOff>
    </xdr:from>
    <xdr:to>
      <xdr:col>1</xdr:col>
      <xdr:colOff>320386</xdr:colOff>
      <xdr:row>3</xdr:row>
      <xdr:rowOff>2886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846" y="0"/>
          <a:ext cx="554949" cy="484909"/>
        </a:xfrm>
        <a:prstGeom prst="rect">
          <a:avLst/>
        </a:prstGeom>
        <a:noFill/>
      </xdr:spPr>
    </xdr:pic>
    <xdr:clientData/>
  </xdr:twoCellAnchor>
  <xdr:twoCellAnchor>
    <xdr:from>
      <xdr:col>0</xdr:col>
      <xdr:colOff>17318</xdr:colOff>
      <xdr:row>4</xdr:row>
      <xdr:rowOff>0</xdr:rowOff>
    </xdr:from>
    <xdr:to>
      <xdr:col>10</xdr:col>
      <xdr:colOff>1000125</xdr:colOff>
      <xdr:row>4</xdr:row>
      <xdr:rowOff>23813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CxnSpPr/>
      </xdr:nvCxnSpPr>
      <xdr:spPr>
        <a:xfrm>
          <a:off x="17318" y="571500"/>
          <a:ext cx="7150245" cy="23813"/>
        </a:xfrm>
        <a:prstGeom prst="line">
          <a:avLst/>
        </a:prstGeom>
        <a:ln w="28575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358632</xdr:colOff>
      <xdr:row>0</xdr:row>
      <xdr:rowOff>18761</xdr:rowOff>
    </xdr:from>
    <xdr:to>
      <xdr:col>10</xdr:col>
      <xdr:colOff>769938</xdr:colOff>
      <xdr:row>2</xdr:row>
      <xdr:rowOff>168639</xdr:rowOff>
    </xdr:to>
    <xdr:pic>
      <xdr:nvPicPr>
        <xdr:cNvPr id="18" name="officeArt object" descr="E:\Desktop\Joson\ETjoson documents\ETJ\ISO FORM OTR, DIP, LOGO\TR-Testmark_9108633846_EN_CMYK_without-QR-NEW LOGO.jpg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899007" y="18761"/>
          <a:ext cx="1038369" cy="465427"/>
        </a:xfrm>
        <a:prstGeom prst="rect">
          <a:avLst/>
        </a:prstGeom>
        <a:ln w="12700" cap="flat">
          <a:noFill/>
          <a:miter lim="400000"/>
          <a:headEnd/>
          <a:tailEnd/>
        </a:ln>
        <a:effectLst/>
      </xdr:spPr>
    </xdr:pic>
    <xdr:clientData/>
  </xdr:twoCellAnchor>
  <xdr:twoCellAnchor>
    <xdr:from>
      <xdr:col>3</xdr:col>
      <xdr:colOff>455409</xdr:colOff>
      <xdr:row>71</xdr:row>
      <xdr:rowOff>12212</xdr:rowOff>
    </xdr:from>
    <xdr:to>
      <xdr:col>10</xdr:col>
      <xdr:colOff>849598</xdr:colOff>
      <xdr:row>75</xdr:row>
      <xdr:rowOff>805961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SpPr txBox="1"/>
      </xdr:nvSpPr>
      <xdr:spPr>
        <a:xfrm>
          <a:off x="3776947" y="10478315"/>
          <a:ext cx="3416138" cy="1523184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850">
              <a:latin typeface="Arial" pitchFamily="34" charset="0"/>
              <a:cs typeface="Arial" pitchFamily="34" charset="0"/>
            </a:rPr>
            <a:t>Respectfully submitted:</a:t>
          </a:r>
        </a:p>
        <a:p>
          <a:endParaRPr lang="en-US" sz="850">
            <a:latin typeface="Arial" pitchFamily="34" charset="0"/>
            <a:cs typeface="Arial" pitchFamily="34" charset="0"/>
          </a:endParaRPr>
        </a:p>
        <a:p>
          <a:pPr algn="l"/>
          <a:r>
            <a:rPr lang="en-US" sz="850" b="1" i="0" u="none" strike="noStrike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JEIHLA</a:t>
          </a:r>
          <a:r>
            <a:rPr lang="en-US" sz="850" b="1" i="0" u="none" strike="noStrike" baseline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MARIE VALEZA                            </a:t>
          </a:r>
          <a:r>
            <a:rPr lang="en-US" sz="850" baseline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___________</a:t>
          </a:r>
          <a:endParaRPr lang="en-US" sz="850">
            <a:latin typeface="Arial" pitchFamily="34" charset="0"/>
            <a:cs typeface="Arial" pitchFamily="34" charset="0"/>
          </a:endParaRPr>
        </a:p>
        <a:p>
          <a:r>
            <a:rPr lang="en-US" sz="850" i="1">
              <a:latin typeface="Arial" pitchFamily="34" charset="0"/>
              <a:cs typeface="Arial" pitchFamily="34" charset="0"/>
            </a:rPr>
            <a:t>                   Instructor</a:t>
          </a:r>
          <a:r>
            <a:rPr lang="en-US" sz="850" i="1" baseline="0">
              <a:latin typeface="Arial" pitchFamily="34" charset="0"/>
              <a:cs typeface="Arial" pitchFamily="34" charset="0"/>
            </a:rPr>
            <a:t> 1</a:t>
          </a:r>
          <a:r>
            <a:rPr lang="en-US" sz="850" i="1">
              <a:latin typeface="Arial" pitchFamily="34" charset="0"/>
              <a:cs typeface="Arial" pitchFamily="34" charset="0"/>
            </a:rPr>
            <a:t>                                           </a:t>
          </a:r>
          <a:r>
            <a:rPr lang="id-ID" sz="850" i="1" baseline="0">
              <a:latin typeface="Arial" pitchFamily="34" charset="0"/>
              <a:cs typeface="Arial" pitchFamily="34" charset="0"/>
            </a:rPr>
            <a:t> </a:t>
          </a:r>
          <a:r>
            <a:rPr lang="en-US" sz="850" i="1" baseline="0">
              <a:latin typeface="Arial" pitchFamily="34" charset="0"/>
              <a:cs typeface="Arial" pitchFamily="34" charset="0"/>
            </a:rPr>
            <a:t>   </a:t>
          </a:r>
          <a:r>
            <a:rPr lang="en-US" sz="850" i="1">
              <a:latin typeface="Arial" pitchFamily="34" charset="0"/>
              <a:cs typeface="Arial" pitchFamily="34" charset="0"/>
            </a:rPr>
            <a:t>Date</a:t>
          </a:r>
        </a:p>
        <a:p>
          <a:r>
            <a:rPr lang="en-US" sz="850">
              <a:latin typeface="Arial" pitchFamily="34" charset="0"/>
              <a:cs typeface="Arial" pitchFamily="34" charset="0"/>
            </a:rPr>
            <a:t>Approved:</a:t>
          </a:r>
        </a:p>
        <a:p>
          <a:endParaRPr lang="en-US" sz="850">
            <a:latin typeface="Arial" pitchFamily="34" charset="0"/>
            <a:cs typeface="Arial" pitchFamily="34" charset="0"/>
          </a:endParaRPr>
        </a:p>
        <a:p>
          <a:r>
            <a:rPr lang="en-US" sz="850">
              <a:latin typeface="Arial" pitchFamily="34" charset="0"/>
              <a:cs typeface="Arial" pitchFamily="34" charset="0"/>
            </a:rPr>
            <a:t>   </a:t>
          </a:r>
          <a:r>
            <a:rPr lang="en-US" sz="850" b="1" baseline="0">
              <a:latin typeface="Arial" pitchFamily="34" charset="0"/>
              <a:cs typeface="Arial" pitchFamily="34" charset="0"/>
            </a:rPr>
            <a:t>    MARILOU A. ALDEA, PhD  </a:t>
          </a:r>
          <a:r>
            <a:rPr lang="en-US" sz="850" baseline="0">
              <a:latin typeface="Arial" pitchFamily="34" charset="0"/>
              <a:cs typeface="Arial" pitchFamily="34" charset="0"/>
            </a:rPr>
            <a:t>                       </a:t>
          </a:r>
          <a:r>
            <a:rPr lang="en-US" sz="850">
              <a:latin typeface="Arial" pitchFamily="34" charset="0"/>
              <a:cs typeface="Arial" pitchFamily="34" charset="0"/>
            </a:rPr>
            <a:t>____________</a:t>
          </a:r>
        </a:p>
        <a:p>
          <a:r>
            <a:rPr lang="en-US" sz="850" i="1">
              <a:latin typeface="Arial" pitchFamily="34" charset="0"/>
              <a:cs typeface="Arial" pitchFamily="34" charset="0"/>
            </a:rPr>
            <a:t>                     Dean                                                      Date</a:t>
          </a:r>
        </a:p>
        <a:p>
          <a:endParaRPr lang="en-US" sz="850">
            <a:latin typeface="Arial" pitchFamily="34" charset="0"/>
            <a:cs typeface="Arial" pitchFamily="34" charset="0"/>
          </a:endParaRPr>
        </a:p>
        <a:p>
          <a:r>
            <a:rPr lang="en-US" sz="850" b="1">
              <a:latin typeface="Arial" pitchFamily="34" charset="0"/>
              <a:cs typeface="Arial" pitchFamily="34" charset="0"/>
            </a:rPr>
            <a:t>       SALVACION</a:t>
          </a:r>
          <a:r>
            <a:rPr lang="en-US" sz="850" b="1" baseline="0">
              <a:latin typeface="Arial" pitchFamily="34" charset="0"/>
              <a:cs typeface="Arial" pitchFamily="34" charset="0"/>
            </a:rPr>
            <a:t> B. MURILLO</a:t>
          </a:r>
          <a:r>
            <a:rPr lang="en-US" sz="850" b="1">
              <a:latin typeface="Arial" pitchFamily="34" charset="0"/>
              <a:cs typeface="Arial" pitchFamily="34" charset="0"/>
            </a:rPr>
            <a:t>, MPA            </a:t>
          </a:r>
          <a:r>
            <a:rPr lang="en-US" sz="850" b="1" baseline="0">
              <a:latin typeface="Arial" pitchFamily="34" charset="0"/>
              <a:cs typeface="Arial" pitchFamily="34" charset="0"/>
            </a:rPr>
            <a:t>    </a:t>
          </a:r>
          <a:r>
            <a:rPr lang="en-US" sz="850" b="1">
              <a:latin typeface="Arial" pitchFamily="34" charset="0"/>
              <a:cs typeface="Arial" pitchFamily="34" charset="0"/>
            </a:rPr>
            <a:t>_</a:t>
          </a:r>
          <a:r>
            <a:rPr lang="en-US" sz="850">
              <a:latin typeface="Arial" pitchFamily="34" charset="0"/>
              <a:cs typeface="Arial" pitchFamily="34" charset="0"/>
            </a:rPr>
            <a:t>___________</a:t>
          </a:r>
        </a:p>
        <a:p>
          <a:r>
            <a:rPr lang="en-US" sz="850" i="1">
              <a:latin typeface="Arial" pitchFamily="34" charset="0"/>
              <a:cs typeface="Arial" pitchFamily="34" charset="0"/>
            </a:rPr>
            <a:t>              </a:t>
          </a:r>
          <a:r>
            <a:rPr lang="en-US" sz="850" i="0">
              <a:latin typeface="Arial" pitchFamily="34" charset="0"/>
              <a:cs typeface="Arial" pitchFamily="34" charset="0"/>
            </a:rPr>
            <a:t>Officer-In-Charge/AO</a:t>
          </a:r>
          <a:r>
            <a:rPr lang="en-US" sz="850" i="0" baseline="0">
              <a:latin typeface="Arial" pitchFamily="34" charset="0"/>
              <a:cs typeface="Arial" pitchFamily="34" charset="0"/>
            </a:rPr>
            <a:t> IV</a:t>
          </a:r>
          <a:r>
            <a:rPr lang="en-US" sz="850" i="0">
              <a:latin typeface="Arial" pitchFamily="34" charset="0"/>
              <a:cs typeface="Arial" pitchFamily="34" charset="0"/>
            </a:rPr>
            <a:t>                      </a:t>
          </a:r>
          <a:r>
            <a:rPr lang="en-US" sz="850" i="0" baseline="0">
              <a:latin typeface="Arial" pitchFamily="34" charset="0"/>
              <a:cs typeface="Arial" pitchFamily="34" charset="0"/>
            </a:rPr>
            <a:t>      </a:t>
          </a:r>
          <a:r>
            <a:rPr lang="en-US" sz="850" i="0">
              <a:latin typeface="Arial" pitchFamily="34" charset="0"/>
              <a:cs typeface="Arial" pitchFamily="34" charset="0"/>
            </a:rPr>
            <a:t>   </a:t>
          </a:r>
          <a:r>
            <a:rPr lang="en-US" sz="850" i="1">
              <a:latin typeface="Arial" pitchFamily="34" charset="0"/>
              <a:cs typeface="Arial" pitchFamily="34" charset="0"/>
            </a:rPr>
            <a:t>Date</a:t>
          </a:r>
        </a:p>
        <a:p>
          <a:r>
            <a:rPr lang="en-US" sz="850" i="1" baseline="0">
              <a:latin typeface="Arial" pitchFamily="34" charset="0"/>
              <a:cs typeface="Arial" pitchFamily="34" charset="0"/>
            </a:rPr>
            <a:t>               University Registrar II</a:t>
          </a:r>
          <a:endParaRPr lang="en-US" sz="850" i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10</xdr:col>
      <xdr:colOff>6350</xdr:colOff>
      <xdr:row>11</xdr:row>
      <xdr:rowOff>0</xdr:rowOff>
    </xdr:from>
    <xdr:to>
      <xdr:col>11</xdr:col>
      <xdr:colOff>13046</xdr:colOff>
      <xdr:row>11</xdr:row>
      <xdr:rowOff>12193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F0F4FC2-86F3-4C15-A3F8-D7F2458EC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50000" y="1485900"/>
          <a:ext cx="1060796" cy="12193"/>
        </a:xfrm>
        <a:prstGeom prst="rect">
          <a:avLst/>
        </a:prstGeom>
      </xdr:spPr>
    </xdr:pic>
    <xdr:clientData/>
  </xdr:twoCellAnchor>
  <xdr:twoCellAnchor editAs="oneCell">
    <xdr:from>
      <xdr:col>10</xdr:col>
      <xdr:colOff>1</xdr:colOff>
      <xdr:row>16</xdr:row>
      <xdr:rowOff>156147</xdr:rowOff>
    </xdr:from>
    <xdr:to>
      <xdr:col>11</xdr:col>
      <xdr:colOff>23678</xdr:colOff>
      <xdr:row>17</xdr:row>
      <xdr:rowOff>12044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37CB37-7188-409E-B3BE-297EDAEA88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345837" y="2467131"/>
          <a:ext cx="1072989" cy="1829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59505</xdr:colOff>
      <xdr:row>3</xdr:row>
      <xdr:rowOff>43295</xdr:rowOff>
    </xdr:from>
    <xdr:to>
      <xdr:col>10</xdr:col>
      <xdr:colOff>727363</xdr:colOff>
      <xdr:row>3</xdr:row>
      <xdr:rowOff>46448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CxnSpPr/>
      </xdr:nvCxnSpPr>
      <xdr:spPr>
        <a:xfrm flipV="1">
          <a:off x="59505" y="580159"/>
          <a:ext cx="6841790" cy="3153"/>
        </a:xfrm>
        <a:prstGeom prst="line">
          <a:avLst/>
        </a:prstGeom>
        <a:ln w="28575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11545</xdr:colOff>
      <xdr:row>78</xdr:row>
      <xdr:rowOff>11904</xdr:rowOff>
    </xdr:from>
    <xdr:to>
      <xdr:col>10</xdr:col>
      <xdr:colOff>1028700</xdr:colOff>
      <xdr:row>78</xdr:row>
      <xdr:rowOff>15009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CxnSpPr/>
      </xdr:nvCxnSpPr>
      <xdr:spPr>
        <a:xfrm>
          <a:off x="11545" y="12076904"/>
          <a:ext cx="7360805" cy="3105"/>
        </a:xfrm>
        <a:prstGeom prst="line">
          <a:avLst/>
        </a:prstGeom>
        <a:ln w="19050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70</xdr:row>
      <xdr:rowOff>80598</xdr:rowOff>
    </xdr:from>
    <xdr:to>
      <xdr:col>3</xdr:col>
      <xdr:colOff>292100</xdr:colOff>
      <xdr:row>74</xdr:row>
      <xdr:rowOff>50915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 txBox="1"/>
      </xdr:nvSpPr>
      <xdr:spPr>
        <a:xfrm>
          <a:off x="0" y="10090507"/>
          <a:ext cx="3617191" cy="78773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900" b="1">
              <a:latin typeface="Arial" pitchFamily="34" charset="0"/>
              <a:cs typeface="Arial" pitchFamily="34" charset="0"/>
            </a:rPr>
            <a:t>OFFICIAL MARKS:</a:t>
          </a:r>
        </a:p>
        <a:p>
          <a:r>
            <a:rPr lang="en-US" sz="800">
              <a:latin typeface="Arial" pitchFamily="34" charset="0"/>
              <a:cs typeface="Arial" pitchFamily="34" charset="0"/>
            </a:rPr>
            <a:t>1.0-99-100%     1.5-94%       2.0-87-89%      2.5-82%       3.0-75-77%</a:t>
          </a:r>
        </a:p>
        <a:p>
          <a:r>
            <a:rPr lang="en-US" sz="800">
              <a:latin typeface="Arial" pitchFamily="34" charset="0"/>
              <a:cs typeface="Arial" pitchFamily="34" charset="0"/>
            </a:rPr>
            <a:t>1.1-98%            1.6-93%       2.1-86%           2.6-81%       4.0-Conditional</a:t>
          </a:r>
        </a:p>
        <a:p>
          <a:r>
            <a:rPr lang="en-US" sz="800">
              <a:latin typeface="Arial" pitchFamily="34" charset="0"/>
              <a:cs typeface="Arial" pitchFamily="34" charset="0"/>
            </a:rPr>
            <a:t>1.2-97%            1.7-92%       2.2-85%           2.7-80%       5.0-Failed</a:t>
          </a:r>
        </a:p>
        <a:p>
          <a:r>
            <a:rPr lang="en-US" sz="800">
              <a:latin typeface="Arial" pitchFamily="34" charset="0"/>
              <a:cs typeface="Arial" pitchFamily="34" charset="0"/>
            </a:rPr>
            <a:t>1.3-96%            1.8-91%       2.3-84%           2.8-79%       INC-Incomplete   </a:t>
          </a:r>
        </a:p>
        <a:p>
          <a:r>
            <a:rPr lang="en-US" sz="800">
              <a:latin typeface="Arial" pitchFamily="34" charset="0"/>
              <a:cs typeface="Arial" pitchFamily="34" charset="0"/>
            </a:rPr>
            <a:t>1.4-95%            1.9-90%       2.4-83%           2.9-78%       DRP-Dropped</a:t>
          </a:r>
        </a:p>
        <a:p>
          <a:endParaRPr lang="en-US" sz="800">
            <a:latin typeface="Arial" pitchFamily="34" charset="0"/>
            <a:cs typeface="Arial" pitchFamily="34" charset="0"/>
          </a:endParaRPr>
        </a:p>
        <a:p>
          <a:r>
            <a:rPr lang="en-US" sz="800" b="1">
              <a:latin typeface="Arial" pitchFamily="34" charset="0"/>
              <a:cs typeface="Arial" pitchFamily="34" charset="0"/>
            </a:rPr>
            <a:t>IMPORTANT :</a:t>
          </a:r>
        </a:p>
        <a:p>
          <a:r>
            <a:rPr lang="en-US" sz="800">
              <a:latin typeface="Arial" pitchFamily="34" charset="0"/>
              <a:cs typeface="Arial" pitchFamily="34" charset="0"/>
            </a:rPr>
            <a:t>1. Due at the OARS within 5 working days after close of term.</a:t>
          </a:r>
        </a:p>
        <a:p>
          <a:r>
            <a:rPr lang="en-US" sz="800">
              <a:latin typeface="Arial" pitchFamily="34" charset="0"/>
              <a:cs typeface="Arial" pitchFamily="34" charset="0"/>
            </a:rPr>
            <a:t>2.  Erasure/Alteration is </a:t>
          </a:r>
          <a:r>
            <a:rPr lang="en-US" sz="800" b="1">
              <a:latin typeface="Arial" pitchFamily="34" charset="0"/>
              <a:cs typeface="Arial" pitchFamily="34" charset="0"/>
            </a:rPr>
            <a:t>NOT ALLOWED</a:t>
          </a:r>
          <a:r>
            <a:rPr lang="en-US" sz="800">
              <a:latin typeface="Arial" pitchFamily="34" charset="0"/>
              <a:cs typeface="Arial" pitchFamily="34" charset="0"/>
            </a:rPr>
            <a:t>. The Registrar reserves the right to refuse acceptance of grade sheets with erasure and/or alteration.</a:t>
          </a:r>
        </a:p>
        <a:p>
          <a:r>
            <a:rPr lang="en-US" sz="800">
              <a:latin typeface="Arial" pitchFamily="34" charset="0"/>
              <a:cs typeface="Arial" pitchFamily="34" charset="0"/>
            </a:rPr>
            <a:t>3. To be submitted by the Dean or his/her authorized representatives not by students.</a:t>
          </a:r>
        </a:p>
      </xdr:txBody>
    </xdr:sp>
    <xdr:clientData/>
  </xdr:twoCellAnchor>
  <xdr:twoCellAnchor>
    <xdr:from>
      <xdr:col>9</xdr:col>
      <xdr:colOff>650579</xdr:colOff>
      <xdr:row>13</xdr:row>
      <xdr:rowOff>1698</xdr:rowOff>
    </xdr:from>
    <xdr:to>
      <xdr:col>10</xdr:col>
      <xdr:colOff>1059289</xdr:colOff>
      <xdr:row>13</xdr:row>
      <xdr:rowOff>1698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CxnSpPr/>
      </xdr:nvCxnSpPr>
      <xdr:spPr>
        <a:xfrm>
          <a:off x="6358652" y="1740443"/>
          <a:ext cx="105987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1985</xdr:colOff>
      <xdr:row>14</xdr:row>
      <xdr:rowOff>2569</xdr:rowOff>
    </xdr:from>
    <xdr:to>
      <xdr:col>11</xdr:col>
      <xdr:colOff>1985</xdr:colOff>
      <xdr:row>14</xdr:row>
      <xdr:rowOff>2569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CxnSpPr/>
      </xdr:nvCxnSpPr>
      <xdr:spPr>
        <a:xfrm>
          <a:off x="6361221" y="1900642"/>
          <a:ext cx="105987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648789</xdr:colOff>
      <xdr:row>15</xdr:row>
      <xdr:rowOff>7707</xdr:rowOff>
    </xdr:from>
    <xdr:to>
      <xdr:col>10</xdr:col>
      <xdr:colOff>1057499</xdr:colOff>
      <xdr:row>15</xdr:row>
      <xdr:rowOff>7707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CxnSpPr/>
      </xdr:nvCxnSpPr>
      <xdr:spPr>
        <a:xfrm>
          <a:off x="6356862" y="2065107"/>
          <a:ext cx="1059873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3944</xdr:colOff>
      <xdr:row>16</xdr:row>
      <xdr:rowOff>6927</xdr:rowOff>
    </xdr:from>
    <xdr:to>
      <xdr:col>11</xdr:col>
      <xdr:colOff>0</xdr:colOff>
      <xdr:row>16</xdr:row>
      <xdr:rowOff>7128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CxnSpPr/>
      </xdr:nvCxnSpPr>
      <xdr:spPr>
        <a:xfrm flipV="1">
          <a:off x="6363180" y="2216727"/>
          <a:ext cx="1055929" cy="20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22371</xdr:colOff>
      <xdr:row>0</xdr:row>
      <xdr:rowOff>7938</xdr:rowOff>
    </xdr:from>
    <xdr:to>
      <xdr:col>1</xdr:col>
      <xdr:colOff>283633</xdr:colOff>
      <xdr:row>3</xdr:row>
      <xdr:rowOff>10824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71" y="7938"/>
          <a:ext cx="554950" cy="510886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155864</xdr:colOff>
      <xdr:row>0</xdr:row>
      <xdr:rowOff>8660</xdr:rowOff>
    </xdr:from>
    <xdr:to>
      <xdr:col>10</xdr:col>
      <xdr:colOff>571500</xdr:colOff>
      <xdr:row>2</xdr:row>
      <xdr:rowOff>129887</xdr:rowOff>
    </xdr:to>
    <xdr:pic>
      <xdr:nvPicPr>
        <xdr:cNvPr id="18" name="officeArt object" descr="E:\Desktop\Joson\ETjoson documents\ETJ\ISO FORM OTR, DIP, LOGO\TR-Testmark_9108633846_EN_CMYK_without-QR-NEW LOGO.jpg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697682" y="8660"/>
          <a:ext cx="1047750" cy="476250"/>
        </a:xfrm>
        <a:prstGeom prst="rect">
          <a:avLst/>
        </a:prstGeom>
        <a:ln w="12700" cap="flat">
          <a:noFill/>
          <a:miter lim="400000"/>
          <a:headEnd/>
          <a:tailEnd/>
        </a:ln>
        <a:effectLst/>
      </xdr:spPr>
    </xdr:pic>
    <xdr:clientData/>
  </xdr:twoCellAnchor>
  <xdr:twoCellAnchor>
    <xdr:from>
      <xdr:col>3</xdr:col>
      <xdr:colOff>334240</xdr:colOff>
      <xdr:row>70</xdr:row>
      <xdr:rowOff>79664</xdr:rowOff>
    </xdr:from>
    <xdr:to>
      <xdr:col>10</xdr:col>
      <xdr:colOff>819148</xdr:colOff>
      <xdr:row>74</xdr:row>
      <xdr:rowOff>24900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SpPr txBox="1"/>
      </xdr:nvSpPr>
      <xdr:spPr>
        <a:xfrm>
          <a:off x="3659331" y="10089573"/>
          <a:ext cx="3519053" cy="762654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900">
              <a:latin typeface="Arial" pitchFamily="34" charset="0"/>
              <a:cs typeface="Arial" pitchFamily="34" charset="0"/>
            </a:rPr>
            <a:t>Respectfully submitted:</a:t>
          </a:r>
        </a:p>
        <a:p>
          <a:endParaRPr lang="en-US" sz="900">
            <a:latin typeface="Arial" pitchFamily="34" charset="0"/>
            <a:cs typeface="Arial" pitchFamily="34" charset="0"/>
          </a:endParaRPr>
        </a:p>
        <a:p>
          <a:pPr algn="l"/>
          <a:r>
            <a:rPr lang="en-US" sz="900" b="1" i="0" u="none" strike="noStrike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JEIHLA</a:t>
          </a:r>
          <a:r>
            <a:rPr lang="en-US" sz="900" b="1" i="0" u="none" strike="noStrike" baseline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MARIE VALEZA                            </a:t>
          </a:r>
          <a:r>
            <a:rPr lang="en-US" sz="900" baseline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___________</a:t>
          </a:r>
          <a:endParaRPr lang="en-US" sz="900">
            <a:latin typeface="Arial" pitchFamily="34" charset="0"/>
            <a:cs typeface="Arial" pitchFamily="34" charset="0"/>
          </a:endParaRPr>
        </a:p>
        <a:p>
          <a:r>
            <a:rPr lang="en-US" sz="900" i="1">
              <a:latin typeface="Arial" pitchFamily="34" charset="0"/>
              <a:cs typeface="Arial" pitchFamily="34" charset="0"/>
            </a:rPr>
            <a:t>                   Instructor</a:t>
          </a:r>
          <a:r>
            <a:rPr lang="en-US" sz="900" i="1" baseline="0">
              <a:latin typeface="Arial" pitchFamily="34" charset="0"/>
              <a:cs typeface="Arial" pitchFamily="34" charset="0"/>
            </a:rPr>
            <a:t> 1</a:t>
          </a:r>
          <a:r>
            <a:rPr lang="en-US" sz="900" i="1">
              <a:latin typeface="Arial" pitchFamily="34" charset="0"/>
              <a:cs typeface="Arial" pitchFamily="34" charset="0"/>
            </a:rPr>
            <a:t>                                           </a:t>
          </a:r>
          <a:r>
            <a:rPr lang="id-ID" sz="900" i="1" baseline="0">
              <a:latin typeface="Arial" pitchFamily="34" charset="0"/>
              <a:cs typeface="Arial" pitchFamily="34" charset="0"/>
            </a:rPr>
            <a:t> </a:t>
          </a:r>
          <a:r>
            <a:rPr lang="en-US" sz="900" i="1" baseline="0">
              <a:latin typeface="Arial" pitchFamily="34" charset="0"/>
              <a:cs typeface="Arial" pitchFamily="34" charset="0"/>
            </a:rPr>
            <a:t>   </a:t>
          </a:r>
          <a:r>
            <a:rPr lang="en-US" sz="900" i="1">
              <a:latin typeface="Arial" pitchFamily="34" charset="0"/>
              <a:cs typeface="Arial" pitchFamily="34" charset="0"/>
            </a:rPr>
            <a:t>Date</a:t>
          </a:r>
        </a:p>
        <a:p>
          <a:endParaRPr lang="en-US" sz="900">
            <a:latin typeface="Arial" pitchFamily="34" charset="0"/>
            <a:cs typeface="Arial" pitchFamily="34" charset="0"/>
          </a:endParaRPr>
        </a:p>
        <a:p>
          <a:r>
            <a:rPr lang="en-US" sz="900">
              <a:latin typeface="Arial" pitchFamily="34" charset="0"/>
              <a:cs typeface="Arial" pitchFamily="34" charset="0"/>
            </a:rPr>
            <a:t>Approved:</a:t>
          </a:r>
        </a:p>
        <a:p>
          <a:r>
            <a:rPr lang="en-US" sz="900">
              <a:latin typeface="Arial" pitchFamily="34" charset="0"/>
              <a:cs typeface="Arial" pitchFamily="34" charset="0"/>
            </a:rPr>
            <a:t>   </a:t>
          </a:r>
          <a:r>
            <a:rPr lang="en-US" sz="900" b="1" baseline="0">
              <a:latin typeface="Arial" pitchFamily="34" charset="0"/>
              <a:cs typeface="Arial" pitchFamily="34" charset="0"/>
            </a:rPr>
            <a:t>    MARILOU A. ALDEA, PhD  </a:t>
          </a:r>
          <a:r>
            <a:rPr lang="en-US" sz="900" baseline="0">
              <a:latin typeface="Arial" pitchFamily="34" charset="0"/>
              <a:cs typeface="Arial" pitchFamily="34" charset="0"/>
            </a:rPr>
            <a:t>                       </a:t>
          </a:r>
          <a:r>
            <a:rPr lang="en-US" sz="900">
              <a:latin typeface="Arial" pitchFamily="34" charset="0"/>
              <a:cs typeface="Arial" pitchFamily="34" charset="0"/>
            </a:rPr>
            <a:t>____________</a:t>
          </a:r>
        </a:p>
        <a:p>
          <a:r>
            <a:rPr lang="en-US" sz="900" i="1">
              <a:latin typeface="Arial" pitchFamily="34" charset="0"/>
              <a:cs typeface="Arial" pitchFamily="34" charset="0"/>
            </a:rPr>
            <a:t>                     Dean                                                      Date</a:t>
          </a:r>
        </a:p>
        <a:p>
          <a:endParaRPr lang="en-US" sz="900">
            <a:latin typeface="Arial" pitchFamily="34" charset="0"/>
            <a:cs typeface="Arial" pitchFamily="34" charset="0"/>
          </a:endParaRPr>
        </a:p>
        <a:p>
          <a:endParaRPr lang="en-US" sz="900">
            <a:latin typeface="Arial" pitchFamily="34" charset="0"/>
            <a:cs typeface="Arial" pitchFamily="34" charset="0"/>
          </a:endParaRPr>
        </a:p>
        <a:p>
          <a:r>
            <a:rPr lang="en-US" sz="900" b="1">
              <a:latin typeface="Arial" pitchFamily="34" charset="0"/>
              <a:cs typeface="Arial" pitchFamily="34" charset="0"/>
            </a:rPr>
            <a:t>       SALVACION</a:t>
          </a:r>
          <a:r>
            <a:rPr lang="en-US" sz="900" b="1" baseline="0">
              <a:latin typeface="Arial" pitchFamily="34" charset="0"/>
              <a:cs typeface="Arial" pitchFamily="34" charset="0"/>
            </a:rPr>
            <a:t> B. MURILLO</a:t>
          </a:r>
          <a:r>
            <a:rPr lang="en-US" sz="900" b="1">
              <a:latin typeface="Arial" pitchFamily="34" charset="0"/>
              <a:cs typeface="Arial" pitchFamily="34" charset="0"/>
            </a:rPr>
            <a:t>, MPA            </a:t>
          </a:r>
          <a:r>
            <a:rPr lang="en-US" sz="900" b="1" baseline="0">
              <a:latin typeface="Arial" pitchFamily="34" charset="0"/>
              <a:cs typeface="Arial" pitchFamily="34" charset="0"/>
            </a:rPr>
            <a:t>    </a:t>
          </a:r>
          <a:r>
            <a:rPr lang="en-US" sz="900" b="1">
              <a:latin typeface="Arial" pitchFamily="34" charset="0"/>
              <a:cs typeface="Arial" pitchFamily="34" charset="0"/>
            </a:rPr>
            <a:t>_</a:t>
          </a:r>
          <a:r>
            <a:rPr lang="en-US" sz="900">
              <a:latin typeface="Arial" pitchFamily="34" charset="0"/>
              <a:cs typeface="Arial" pitchFamily="34" charset="0"/>
            </a:rPr>
            <a:t>___________</a:t>
          </a:r>
        </a:p>
        <a:p>
          <a:r>
            <a:rPr lang="en-US" sz="900" i="1">
              <a:latin typeface="Arial" pitchFamily="34" charset="0"/>
              <a:cs typeface="Arial" pitchFamily="34" charset="0"/>
            </a:rPr>
            <a:t>              </a:t>
          </a:r>
          <a:r>
            <a:rPr lang="en-US" sz="900" i="0">
              <a:latin typeface="Arial" pitchFamily="34" charset="0"/>
              <a:cs typeface="Arial" pitchFamily="34" charset="0"/>
            </a:rPr>
            <a:t>Officer-In-Charge/AO</a:t>
          </a:r>
          <a:r>
            <a:rPr lang="en-US" sz="900" i="0" baseline="0">
              <a:latin typeface="Arial" pitchFamily="34" charset="0"/>
              <a:cs typeface="Arial" pitchFamily="34" charset="0"/>
            </a:rPr>
            <a:t> IV</a:t>
          </a:r>
          <a:r>
            <a:rPr lang="en-US" sz="900" i="0">
              <a:latin typeface="Arial" pitchFamily="34" charset="0"/>
              <a:cs typeface="Arial" pitchFamily="34" charset="0"/>
            </a:rPr>
            <a:t>                      </a:t>
          </a:r>
          <a:r>
            <a:rPr lang="en-US" sz="900" i="0" baseline="0">
              <a:latin typeface="Arial" pitchFamily="34" charset="0"/>
              <a:cs typeface="Arial" pitchFamily="34" charset="0"/>
            </a:rPr>
            <a:t>      </a:t>
          </a:r>
          <a:r>
            <a:rPr lang="en-US" sz="900" i="0">
              <a:latin typeface="Arial" pitchFamily="34" charset="0"/>
              <a:cs typeface="Arial" pitchFamily="34" charset="0"/>
            </a:rPr>
            <a:t>   </a:t>
          </a:r>
          <a:r>
            <a:rPr lang="en-US" sz="900" i="1">
              <a:latin typeface="Arial" pitchFamily="34" charset="0"/>
              <a:cs typeface="Arial" pitchFamily="34" charset="0"/>
            </a:rPr>
            <a:t>Date</a:t>
          </a:r>
        </a:p>
        <a:p>
          <a:r>
            <a:rPr lang="en-US" sz="900" i="1" baseline="0">
              <a:latin typeface="Arial" pitchFamily="34" charset="0"/>
              <a:cs typeface="Arial" pitchFamily="34" charset="0"/>
            </a:rPr>
            <a:t>               University Registrar II</a:t>
          </a:r>
          <a:endParaRPr lang="en-US" sz="900" i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0</xdr:colOff>
      <xdr:row>11</xdr:row>
      <xdr:rowOff>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CxnSpPr/>
      </xdr:nvCxnSpPr>
      <xdr:spPr>
        <a:xfrm>
          <a:off x="6167438" y="1643063"/>
          <a:ext cx="10318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59505</xdr:colOff>
      <xdr:row>3</xdr:row>
      <xdr:rowOff>46448</xdr:rowOff>
    </xdr:from>
    <xdr:to>
      <xdr:col>10</xdr:col>
      <xdr:colOff>611955</xdr:colOff>
      <xdr:row>3</xdr:row>
      <xdr:rowOff>55973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CxnSpPr/>
      </xdr:nvCxnSpPr>
      <xdr:spPr>
        <a:xfrm>
          <a:off x="59505" y="579848"/>
          <a:ext cx="6724650" cy="9525"/>
        </a:xfrm>
        <a:prstGeom prst="line">
          <a:avLst/>
        </a:prstGeom>
        <a:ln w="28575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64</xdr:row>
      <xdr:rowOff>2462</xdr:rowOff>
    </xdr:from>
    <xdr:to>
      <xdr:col>10</xdr:col>
      <xdr:colOff>985201</xdr:colOff>
      <xdr:row>64</xdr:row>
      <xdr:rowOff>19871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CxnSpPr/>
      </xdr:nvCxnSpPr>
      <xdr:spPr>
        <a:xfrm flipV="1">
          <a:off x="0" y="12147809"/>
          <a:ext cx="7291140" cy="17409"/>
        </a:xfrm>
        <a:prstGeom prst="line">
          <a:avLst/>
        </a:prstGeom>
        <a:ln w="19050">
          <a:solidFill>
            <a:srgbClr val="0070C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55</xdr:row>
      <xdr:rowOff>96321</xdr:rowOff>
    </xdr:from>
    <xdr:to>
      <xdr:col>3</xdr:col>
      <xdr:colOff>292100</xdr:colOff>
      <xdr:row>62</xdr:row>
      <xdr:rowOff>228600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 txBox="1"/>
      </xdr:nvSpPr>
      <xdr:spPr>
        <a:xfrm>
          <a:off x="0" y="11259621"/>
          <a:ext cx="3521075" cy="1618179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900" b="1">
              <a:latin typeface="Arial" pitchFamily="34" charset="0"/>
              <a:cs typeface="Arial" pitchFamily="34" charset="0"/>
            </a:rPr>
            <a:t>OFFICIAL MARKS:</a:t>
          </a:r>
        </a:p>
        <a:p>
          <a:r>
            <a:rPr lang="en-US" sz="800">
              <a:latin typeface="Arial" pitchFamily="34" charset="0"/>
              <a:cs typeface="Arial" pitchFamily="34" charset="0"/>
            </a:rPr>
            <a:t>1.0-99-100%     1.5-94%       2.0-87-89%      2.5-82%       3.0-75-77%</a:t>
          </a:r>
        </a:p>
        <a:p>
          <a:r>
            <a:rPr lang="en-US" sz="800">
              <a:latin typeface="Arial" pitchFamily="34" charset="0"/>
              <a:cs typeface="Arial" pitchFamily="34" charset="0"/>
            </a:rPr>
            <a:t>1.1-98%            1.6-93%       2.1-86%           2.6-81%       4.0-Conditional</a:t>
          </a:r>
        </a:p>
        <a:p>
          <a:r>
            <a:rPr lang="en-US" sz="800">
              <a:latin typeface="Arial" pitchFamily="34" charset="0"/>
              <a:cs typeface="Arial" pitchFamily="34" charset="0"/>
            </a:rPr>
            <a:t>1.2-97%            1.7-92%       2.2-85%           2.7-80%       5.0-Failed</a:t>
          </a:r>
        </a:p>
        <a:p>
          <a:r>
            <a:rPr lang="en-US" sz="800">
              <a:latin typeface="Arial" pitchFamily="34" charset="0"/>
              <a:cs typeface="Arial" pitchFamily="34" charset="0"/>
            </a:rPr>
            <a:t>1.3-96%            1.8-91%       2.3-84%           2.8-79%       INC-Incomplete   </a:t>
          </a:r>
        </a:p>
        <a:p>
          <a:r>
            <a:rPr lang="en-US" sz="800">
              <a:latin typeface="Arial" pitchFamily="34" charset="0"/>
              <a:cs typeface="Arial" pitchFamily="34" charset="0"/>
            </a:rPr>
            <a:t>1.4-95%            1.9-90%       2.4-83%           2.9-78%       DRP-Dropped</a:t>
          </a:r>
        </a:p>
        <a:p>
          <a:endParaRPr lang="en-US" sz="800">
            <a:latin typeface="Arial" pitchFamily="34" charset="0"/>
            <a:cs typeface="Arial" pitchFamily="34" charset="0"/>
          </a:endParaRPr>
        </a:p>
        <a:p>
          <a:r>
            <a:rPr lang="en-US" sz="800" b="1">
              <a:latin typeface="Arial" pitchFamily="34" charset="0"/>
              <a:cs typeface="Arial" pitchFamily="34" charset="0"/>
            </a:rPr>
            <a:t>IMPORTANT :</a:t>
          </a:r>
        </a:p>
        <a:p>
          <a:r>
            <a:rPr lang="en-US" sz="800">
              <a:latin typeface="Arial" pitchFamily="34" charset="0"/>
              <a:cs typeface="Arial" pitchFamily="34" charset="0"/>
            </a:rPr>
            <a:t>1. Due at the OARS within 5 working days after close of term.</a:t>
          </a:r>
        </a:p>
        <a:p>
          <a:r>
            <a:rPr lang="en-US" sz="800">
              <a:latin typeface="Arial" pitchFamily="34" charset="0"/>
              <a:cs typeface="Arial" pitchFamily="34" charset="0"/>
            </a:rPr>
            <a:t>2.  Erasure/Alteration is </a:t>
          </a:r>
          <a:r>
            <a:rPr lang="en-US" sz="800" b="1">
              <a:latin typeface="Arial" pitchFamily="34" charset="0"/>
              <a:cs typeface="Arial" pitchFamily="34" charset="0"/>
            </a:rPr>
            <a:t>NOT ALLOWED</a:t>
          </a:r>
          <a:r>
            <a:rPr lang="en-US" sz="800">
              <a:latin typeface="Arial" pitchFamily="34" charset="0"/>
              <a:cs typeface="Arial" pitchFamily="34" charset="0"/>
            </a:rPr>
            <a:t>. The Registrar reserves the right to refuse acceptance of grade sheets with erasure and/or alteration.</a:t>
          </a:r>
        </a:p>
        <a:p>
          <a:r>
            <a:rPr lang="en-US" sz="800">
              <a:latin typeface="Arial" pitchFamily="34" charset="0"/>
              <a:cs typeface="Arial" pitchFamily="34" charset="0"/>
            </a:rPr>
            <a:t>3. To be submitted by the Dean or his/her authorized representatives not by students.</a:t>
          </a:r>
        </a:p>
      </xdr:txBody>
    </xdr:sp>
    <xdr:clientData/>
  </xdr:twoCellAnchor>
  <xdr:twoCellAnchor>
    <xdr:from>
      <xdr:col>3</xdr:col>
      <xdr:colOff>224646</xdr:colOff>
      <xdr:row>55</xdr:row>
      <xdr:rowOff>32106</xdr:rowOff>
    </xdr:from>
    <xdr:to>
      <xdr:col>11</xdr:col>
      <xdr:colOff>26957</xdr:colOff>
      <xdr:row>62</xdr:row>
      <xdr:rowOff>368300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 txBox="1"/>
      </xdr:nvSpPr>
      <xdr:spPr>
        <a:xfrm>
          <a:off x="3545696" y="10662006"/>
          <a:ext cx="3847261" cy="1968144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900">
              <a:latin typeface="Arial" pitchFamily="34" charset="0"/>
              <a:cs typeface="Arial" pitchFamily="34" charset="0"/>
            </a:rPr>
            <a:t>Respectfully submitted:</a:t>
          </a:r>
        </a:p>
        <a:p>
          <a:endParaRPr lang="en-US" sz="900">
            <a:latin typeface="Arial" pitchFamily="34" charset="0"/>
            <a:cs typeface="Arial" pitchFamily="34" charset="0"/>
          </a:endParaRPr>
        </a:p>
        <a:p>
          <a:pPr algn="l"/>
          <a:r>
            <a:rPr lang="en-US" sz="900" b="1" i="0" u="none" strike="noStrike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JEIHLA</a:t>
          </a:r>
          <a:r>
            <a:rPr lang="en-US" sz="900" b="1" i="0" u="none" strike="noStrike" baseline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MARIE VALEZA                            </a:t>
          </a:r>
          <a:r>
            <a:rPr lang="en-US" sz="900" baseline="0">
              <a:solidFill>
                <a:schemeClr val="dk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___________</a:t>
          </a:r>
          <a:endParaRPr lang="en-US" sz="900">
            <a:latin typeface="Arial" pitchFamily="34" charset="0"/>
            <a:cs typeface="Arial" pitchFamily="34" charset="0"/>
          </a:endParaRPr>
        </a:p>
        <a:p>
          <a:r>
            <a:rPr lang="en-US" sz="900" i="1">
              <a:latin typeface="Arial" pitchFamily="34" charset="0"/>
              <a:cs typeface="Arial" pitchFamily="34" charset="0"/>
            </a:rPr>
            <a:t>                   Instructor</a:t>
          </a:r>
          <a:r>
            <a:rPr lang="en-US" sz="900" i="1" baseline="0">
              <a:latin typeface="Arial" pitchFamily="34" charset="0"/>
              <a:cs typeface="Arial" pitchFamily="34" charset="0"/>
            </a:rPr>
            <a:t> 1</a:t>
          </a:r>
          <a:r>
            <a:rPr lang="en-US" sz="900" i="1">
              <a:latin typeface="Arial" pitchFamily="34" charset="0"/>
              <a:cs typeface="Arial" pitchFamily="34" charset="0"/>
            </a:rPr>
            <a:t>                                           </a:t>
          </a:r>
          <a:r>
            <a:rPr lang="id-ID" sz="900" i="1" baseline="0">
              <a:latin typeface="Arial" pitchFamily="34" charset="0"/>
              <a:cs typeface="Arial" pitchFamily="34" charset="0"/>
            </a:rPr>
            <a:t> </a:t>
          </a:r>
          <a:r>
            <a:rPr lang="en-US" sz="900" i="1" baseline="0">
              <a:latin typeface="Arial" pitchFamily="34" charset="0"/>
              <a:cs typeface="Arial" pitchFamily="34" charset="0"/>
            </a:rPr>
            <a:t>   </a:t>
          </a:r>
          <a:r>
            <a:rPr lang="en-US" sz="900" i="1">
              <a:latin typeface="Arial" pitchFamily="34" charset="0"/>
              <a:cs typeface="Arial" pitchFamily="34" charset="0"/>
            </a:rPr>
            <a:t>Date</a:t>
          </a:r>
        </a:p>
        <a:p>
          <a:endParaRPr lang="en-US" sz="900">
            <a:latin typeface="Arial" pitchFamily="34" charset="0"/>
            <a:cs typeface="Arial" pitchFamily="34" charset="0"/>
          </a:endParaRPr>
        </a:p>
        <a:p>
          <a:r>
            <a:rPr lang="en-US" sz="900">
              <a:latin typeface="Arial" pitchFamily="34" charset="0"/>
              <a:cs typeface="Arial" pitchFamily="34" charset="0"/>
            </a:rPr>
            <a:t>Approved:</a:t>
          </a:r>
        </a:p>
        <a:p>
          <a:endParaRPr lang="en-US" sz="900">
            <a:latin typeface="Arial" pitchFamily="34" charset="0"/>
            <a:cs typeface="Arial" pitchFamily="34" charset="0"/>
          </a:endParaRPr>
        </a:p>
        <a:p>
          <a:r>
            <a:rPr lang="en-US" sz="900">
              <a:latin typeface="Arial" pitchFamily="34" charset="0"/>
              <a:cs typeface="Arial" pitchFamily="34" charset="0"/>
            </a:rPr>
            <a:t>   </a:t>
          </a:r>
          <a:r>
            <a:rPr lang="en-US" sz="900" b="1" baseline="0">
              <a:latin typeface="Arial" pitchFamily="34" charset="0"/>
              <a:cs typeface="Arial" pitchFamily="34" charset="0"/>
            </a:rPr>
            <a:t>   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MARILOU A. ALDEA, PhD     </a:t>
          </a:r>
          <a:r>
            <a:rPr lang="en-US" sz="900" b="1" baseline="0">
              <a:latin typeface="Arial" pitchFamily="34" charset="0"/>
              <a:cs typeface="Arial" pitchFamily="34" charset="0"/>
            </a:rPr>
            <a:t>  </a:t>
          </a:r>
          <a:r>
            <a:rPr lang="en-US" sz="900" baseline="0">
              <a:latin typeface="Arial" pitchFamily="34" charset="0"/>
              <a:cs typeface="Arial" pitchFamily="34" charset="0"/>
            </a:rPr>
            <a:t>                 </a:t>
          </a:r>
          <a:r>
            <a:rPr lang="en-US" sz="900">
              <a:latin typeface="Arial" pitchFamily="34" charset="0"/>
              <a:cs typeface="Arial" pitchFamily="34" charset="0"/>
            </a:rPr>
            <a:t>____________</a:t>
          </a:r>
        </a:p>
        <a:p>
          <a:r>
            <a:rPr lang="en-US" sz="900" i="1">
              <a:latin typeface="Arial" pitchFamily="34" charset="0"/>
              <a:cs typeface="Arial" pitchFamily="34" charset="0"/>
            </a:rPr>
            <a:t>                     Dean  </a:t>
          </a:r>
          <a:r>
            <a:rPr lang="en-US" sz="900" i="1" baseline="0">
              <a:latin typeface="Arial" pitchFamily="34" charset="0"/>
              <a:cs typeface="Arial" pitchFamily="34" charset="0"/>
            </a:rPr>
            <a:t>                                                   </a:t>
          </a:r>
          <a:r>
            <a:rPr lang="en-US" sz="900" i="1">
              <a:latin typeface="Arial" pitchFamily="34" charset="0"/>
              <a:cs typeface="Arial" pitchFamily="34" charset="0"/>
            </a:rPr>
            <a:t> Date</a:t>
          </a:r>
        </a:p>
        <a:p>
          <a:endParaRPr lang="en-US" sz="900">
            <a:latin typeface="Arial" pitchFamily="34" charset="0"/>
            <a:cs typeface="Arial" pitchFamily="34" charset="0"/>
          </a:endParaRPr>
        </a:p>
        <a:p>
          <a:endParaRPr lang="en-US" sz="900">
            <a:latin typeface="Arial" pitchFamily="34" charset="0"/>
            <a:cs typeface="Arial" pitchFamily="34" charset="0"/>
          </a:endParaRPr>
        </a:p>
        <a:p>
          <a:r>
            <a:rPr lang="en-US" sz="900" b="1">
              <a:latin typeface="Arial" pitchFamily="34" charset="0"/>
              <a:cs typeface="Arial" pitchFamily="34" charset="0"/>
            </a:rPr>
            <a:t>    SALVACION</a:t>
          </a:r>
          <a:r>
            <a:rPr lang="en-US" sz="900" b="1" baseline="0">
              <a:latin typeface="Arial" pitchFamily="34" charset="0"/>
              <a:cs typeface="Arial" pitchFamily="34" charset="0"/>
            </a:rPr>
            <a:t> B. MURILLO</a:t>
          </a:r>
          <a:r>
            <a:rPr lang="en-US" sz="900" b="1">
              <a:latin typeface="Arial" pitchFamily="34" charset="0"/>
              <a:cs typeface="Arial" pitchFamily="34" charset="0"/>
            </a:rPr>
            <a:t>, MPA            </a:t>
          </a:r>
          <a:r>
            <a:rPr lang="en-US" sz="900" b="1" baseline="0">
              <a:latin typeface="Arial" pitchFamily="34" charset="0"/>
              <a:cs typeface="Arial" pitchFamily="34" charset="0"/>
            </a:rPr>
            <a:t>    </a:t>
          </a:r>
          <a:r>
            <a:rPr lang="en-US" sz="900" b="1">
              <a:latin typeface="Arial" pitchFamily="34" charset="0"/>
              <a:cs typeface="Arial" pitchFamily="34" charset="0"/>
            </a:rPr>
            <a:t>_</a:t>
          </a:r>
          <a:r>
            <a:rPr lang="en-US" sz="900">
              <a:latin typeface="Arial" pitchFamily="34" charset="0"/>
              <a:cs typeface="Arial" pitchFamily="34" charset="0"/>
            </a:rPr>
            <a:t>___________</a:t>
          </a:r>
        </a:p>
        <a:p>
          <a:r>
            <a:rPr lang="en-US" sz="900" i="1">
              <a:latin typeface="Arial" pitchFamily="34" charset="0"/>
              <a:cs typeface="Arial" pitchFamily="34" charset="0"/>
            </a:rPr>
            <a:t>              </a:t>
          </a:r>
          <a:r>
            <a:rPr lang="en-US" sz="900" i="0">
              <a:latin typeface="Arial" pitchFamily="34" charset="0"/>
              <a:cs typeface="Arial" pitchFamily="34" charset="0"/>
            </a:rPr>
            <a:t>Officer-In-Charge/AO</a:t>
          </a:r>
          <a:r>
            <a:rPr lang="en-US" sz="900" i="0" baseline="0">
              <a:latin typeface="Arial" pitchFamily="34" charset="0"/>
              <a:cs typeface="Arial" pitchFamily="34" charset="0"/>
            </a:rPr>
            <a:t> IV</a:t>
          </a:r>
          <a:r>
            <a:rPr lang="en-US" sz="900" i="0">
              <a:latin typeface="Arial" pitchFamily="34" charset="0"/>
              <a:cs typeface="Arial" pitchFamily="34" charset="0"/>
            </a:rPr>
            <a:t>                      </a:t>
          </a:r>
          <a:r>
            <a:rPr lang="en-US" sz="900" i="0" baseline="0">
              <a:latin typeface="Arial" pitchFamily="34" charset="0"/>
              <a:cs typeface="Arial" pitchFamily="34" charset="0"/>
            </a:rPr>
            <a:t>      </a:t>
          </a:r>
          <a:r>
            <a:rPr lang="en-US" sz="900" i="0">
              <a:latin typeface="Arial" pitchFamily="34" charset="0"/>
              <a:cs typeface="Arial" pitchFamily="34" charset="0"/>
            </a:rPr>
            <a:t>   </a:t>
          </a:r>
          <a:r>
            <a:rPr lang="en-US" sz="900" i="1">
              <a:latin typeface="Arial" pitchFamily="34" charset="0"/>
              <a:cs typeface="Arial" pitchFamily="34" charset="0"/>
            </a:rPr>
            <a:t>Date</a:t>
          </a:r>
        </a:p>
        <a:p>
          <a:r>
            <a:rPr lang="en-US" sz="900" i="1" baseline="0">
              <a:latin typeface="Arial" pitchFamily="34" charset="0"/>
              <a:cs typeface="Arial" pitchFamily="34" charset="0"/>
            </a:rPr>
            <a:t>               University Registrar II</a:t>
          </a:r>
          <a:endParaRPr lang="en-US" sz="900" i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10</xdr:col>
      <xdr:colOff>571</xdr:colOff>
      <xdr:row>13</xdr:row>
      <xdr:rowOff>4353</xdr:rowOff>
    </xdr:from>
    <xdr:to>
      <xdr:col>11</xdr:col>
      <xdr:colOff>571</xdr:colOff>
      <xdr:row>13</xdr:row>
      <xdr:rowOff>4353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CxnSpPr/>
      </xdr:nvCxnSpPr>
      <xdr:spPr>
        <a:xfrm>
          <a:off x="6344221" y="2106203"/>
          <a:ext cx="10223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3139</xdr:colOff>
      <xdr:row>14</xdr:row>
      <xdr:rowOff>2570</xdr:rowOff>
    </xdr:from>
    <xdr:to>
      <xdr:col>11</xdr:col>
      <xdr:colOff>3139</xdr:colOff>
      <xdr:row>14</xdr:row>
      <xdr:rowOff>2570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CxnSpPr/>
      </xdr:nvCxnSpPr>
      <xdr:spPr>
        <a:xfrm>
          <a:off x="6302339" y="2282220"/>
          <a:ext cx="10223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647058</xdr:colOff>
      <xdr:row>15</xdr:row>
      <xdr:rowOff>1357</xdr:rowOff>
    </xdr:from>
    <xdr:to>
      <xdr:col>10</xdr:col>
      <xdr:colOff>1021708</xdr:colOff>
      <xdr:row>15</xdr:row>
      <xdr:rowOff>1357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CxnSpPr/>
      </xdr:nvCxnSpPr>
      <xdr:spPr>
        <a:xfrm>
          <a:off x="6298558" y="2446107"/>
          <a:ext cx="10223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317338</xdr:colOff>
      <xdr:row>2</xdr:row>
      <xdr:rowOff>171450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519112" cy="514350"/>
        </a:xfrm>
        <a:prstGeom prst="rect">
          <a:avLst/>
        </a:prstGeom>
        <a:noFill/>
      </xdr:spPr>
    </xdr:pic>
    <xdr:clientData/>
  </xdr:twoCellAnchor>
  <xdr:twoCellAnchor editAs="oneCell">
    <xdr:from>
      <xdr:col>9</xdr:col>
      <xdr:colOff>0</xdr:colOff>
      <xdr:row>0</xdr:row>
      <xdr:rowOff>0</xdr:rowOff>
    </xdr:from>
    <xdr:to>
      <xdr:col>10</xdr:col>
      <xdr:colOff>541914</xdr:colOff>
      <xdr:row>3</xdr:row>
      <xdr:rowOff>23091</xdr:rowOff>
    </xdr:to>
    <xdr:pic>
      <xdr:nvPicPr>
        <xdr:cNvPr id="18" name="officeArt object" descr="E:\Desktop\Joson\ETjoson documents\ETJ\ISO FORM OTR, DIP, LOGO\TR-Testmark_9108633846_EN_CMYK_without-QR-NEW LOGO.jpg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540375" y="0"/>
          <a:ext cx="1168976" cy="562841"/>
        </a:xfrm>
        <a:prstGeom prst="rect">
          <a:avLst/>
        </a:prstGeom>
        <a:ln w="12700" cap="flat">
          <a:noFill/>
          <a:miter lim="400000"/>
          <a:headEnd/>
          <a:tailEnd/>
        </a:ln>
        <a:effectLst/>
      </xdr:spPr>
    </xdr:pic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0</xdr:colOff>
      <xdr:row>11</xdr:row>
      <xdr:rowOff>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CxnSpPr/>
      </xdr:nvCxnSpPr>
      <xdr:spPr>
        <a:xfrm>
          <a:off x="6167438" y="1809750"/>
          <a:ext cx="10001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5708</xdr:colOff>
      <xdr:row>15</xdr:row>
      <xdr:rowOff>195032</xdr:rowOff>
    </xdr:from>
    <xdr:to>
      <xdr:col>11</xdr:col>
      <xdr:colOff>5708</xdr:colOff>
      <xdr:row>15</xdr:row>
      <xdr:rowOff>195032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1D76406D-5FF9-4449-8E4D-0100C9F4DC1B}"/>
            </a:ext>
          </a:extLst>
        </xdr:cNvPr>
        <xdr:cNvCxnSpPr/>
      </xdr:nvCxnSpPr>
      <xdr:spPr>
        <a:xfrm>
          <a:off x="6304908" y="2639782"/>
          <a:ext cx="10223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39997558519241921"/>
  </sheetPr>
  <dimension ref="A1:K96"/>
  <sheetViews>
    <sheetView topLeftCell="A7" zoomScale="120" zoomScaleNormal="120" zoomScaleSheetLayoutView="145" zoomScalePageLayoutView="106" workbookViewId="0">
      <selection activeCell="O16" sqref="O16:O17"/>
    </sheetView>
  </sheetViews>
  <sheetFormatPr defaultColWidth="8.88671875" defaultRowHeight="14.4" x14ac:dyDescent="0.3"/>
  <cols>
    <col min="1" max="1" width="4.44140625" customWidth="1"/>
    <col min="2" max="2" width="14" customWidth="1"/>
    <col min="3" max="3" width="30" customWidth="1"/>
    <col min="4" max="4" width="7.109375" customWidth="1"/>
    <col min="5" max="5" width="7.44140625" customWidth="1"/>
    <col min="6" max="6" width="7.44140625" hidden="1" customWidth="1"/>
    <col min="7" max="7" width="6.21875" customWidth="1"/>
    <col min="8" max="8" width="6.6640625" customWidth="1"/>
    <col min="9" max="9" width="7.21875" customWidth="1"/>
    <col min="10" max="10" width="9.44140625" style="192" customWidth="1"/>
    <col min="11" max="11" width="14.88671875" customWidth="1"/>
  </cols>
  <sheetData>
    <row r="1" spans="1:11" ht="14.25" customHeight="1" x14ac:dyDescent="0.3">
      <c r="B1" s="1" t="s">
        <v>39</v>
      </c>
    </row>
    <row r="2" spans="1:11" ht="13.5" customHeight="1" x14ac:dyDescent="0.3">
      <c r="B2" s="2" t="s">
        <v>48</v>
      </c>
    </row>
    <row r="3" spans="1:11" ht="14.25" customHeight="1" x14ac:dyDescent="0.3">
      <c r="B3" s="1" t="s">
        <v>38</v>
      </c>
    </row>
    <row r="4" spans="1:11" ht="6.75" customHeight="1" x14ac:dyDescent="0.3">
      <c r="A4" s="3"/>
      <c r="B4" s="3"/>
      <c r="C4" s="3"/>
      <c r="D4" s="3"/>
      <c r="E4" s="3"/>
      <c r="F4" s="3"/>
      <c r="G4" s="3"/>
      <c r="H4" s="3"/>
      <c r="I4" s="3"/>
      <c r="J4" s="32"/>
      <c r="K4" s="3"/>
    </row>
    <row r="5" spans="1:11" ht="18" customHeight="1" x14ac:dyDescent="0.3">
      <c r="A5" s="55" t="s">
        <v>53</v>
      </c>
      <c r="B5" s="52"/>
      <c r="C5" s="52"/>
      <c r="D5" s="52"/>
      <c r="E5" s="52"/>
      <c r="F5" s="52"/>
      <c r="G5" s="52"/>
      <c r="H5" s="52"/>
      <c r="I5" s="52"/>
      <c r="J5" s="197"/>
      <c r="K5" s="52"/>
    </row>
    <row r="6" spans="1:11" ht="8.25" customHeight="1" x14ac:dyDescent="0.3">
      <c r="A6" s="55"/>
      <c r="B6" s="52"/>
      <c r="C6" s="52"/>
      <c r="D6" s="52"/>
      <c r="E6" s="52"/>
      <c r="F6" s="52"/>
      <c r="G6" s="52"/>
      <c r="H6" s="52"/>
      <c r="I6" s="52"/>
      <c r="J6" s="197"/>
      <c r="K6" s="52"/>
    </row>
    <row r="7" spans="1:11" ht="19.5" customHeight="1" x14ac:dyDescent="0.3">
      <c r="A7" s="532" t="s">
        <v>0</v>
      </c>
      <c r="B7" s="532"/>
      <c r="C7" s="532"/>
      <c r="D7" s="532"/>
      <c r="E7" s="532"/>
      <c r="F7" s="532"/>
      <c r="G7" s="532"/>
      <c r="H7" s="532"/>
      <c r="I7" s="532"/>
      <c r="J7" s="532"/>
      <c r="K7" s="532"/>
    </row>
    <row r="8" spans="1:11" ht="15.6" x14ac:dyDescent="0.3">
      <c r="A8" s="533" t="s">
        <v>56</v>
      </c>
      <c r="B8" s="533"/>
      <c r="C8" s="533"/>
      <c r="D8" s="533"/>
      <c r="E8" s="533"/>
      <c r="F8" s="533"/>
      <c r="G8" s="533"/>
      <c r="H8" s="533"/>
      <c r="I8" s="533"/>
      <c r="J8" s="533"/>
      <c r="K8" s="533"/>
    </row>
    <row r="9" spans="1:11" ht="15.6" x14ac:dyDescent="0.3">
      <c r="A9" s="533" t="s">
        <v>57</v>
      </c>
      <c r="B9" s="533"/>
      <c r="C9" s="533"/>
      <c r="D9" s="533"/>
      <c r="E9" s="533"/>
      <c r="F9" s="533"/>
      <c r="G9" s="533"/>
      <c r="H9" s="533"/>
      <c r="I9" s="533"/>
      <c r="J9" s="533"/>
      <c r="K9" s="533"/>
    </row>
    <row r="10" spans="1:11" ht="2.1" customHeight="1" x14ac:dyDescent="0.3">
      <c r="A10" s="13"/>
      <c r="B10" s="13"/>
      <c r="C10" s="13"/>
      <c r="D10" s="13"/>
      <c r="E10" s="13"/>
      <c r="F10" s="13"/>
      <c r="G10" s="13"/>
      <c r="H10" s="13"/>
      <c r="I10" s="13"/>
      <c r="J10" s="193"/>
      <c r="K10" s="13"/>
    </row>
    <row r="11" spans="1:11" ht="16.5" customHeight="1" x14ac:dyDescent="0.3">
      <c r="A11" s="13" t="s">
        <v>43</v>
      </c>
      <c r="B11" s="52"/>
      <c r="C11" s="53" t="s">
        <v>84</v>
      </c>
      <c r="D11" s="38"/>
      <c r="E11" s="38"/>
      <c r="F11" s="13"/>
      <c r="H11" s="57" t="s">
        <v>1</v>
      </c>
      <c r="I11" s="52"/>
      <c r="J11" s="197"/>
      <c r="K11" s="197">
        <v>1</v>
      </c>
    </row>
    <row r="12" spans="1:11" ht="15" customHeight="1" x14ac:dyDescent="0.3">
      <c r="A12" s="13" t="s">
        <v>44</v>
      </c>
      <c r="B12" s="52"/>
      <c r="C12" s="53" t="s">
        <v>64</v>
      </c>
      <c r="D12" s="38"/>
      <c r="E12" s="38"/>
      <c r="F12" s="13"/>
      <c r="H12" s="52" t="s">
        <v>2</v>
      </c>
      <c r="I12" s="52"/>
      <c r="J12" s="197"/>
      <c r="K12" s="197"/>
    </row>
    <row r="13" spans="1:11" ht="15.75" customHeight="1" x14ac:dyDescent="0.3">
      <c r="A13" s="13" t="s">
        <v>45</v>
      </c>
      <c r="B13" s="52"/>
      <c r="C13" s="54" t="s">
        <v>81</v>
      </c>
      <c r="D13" s="39"/>
      <c r="E13" s="39"/>
      <c r="F13" s="13"/>
      <c r="H13" s="52"/>
      <c r="I13" s="52" t="s">
        <v>3</v>
      </c>
      <c r="J13" s="197"/>
      <c r="K13" s="197">
        <v>0</v>
      </c>
    </row>
    <row r="14" spans="1:11" ht="14.25" customHeight="1" x14ac:dyDescent="0.3">
      <c r="A14" s="13" t="s">
        <v>46</v>
      </c>
      <c r="B14" s="52"/>
      <c r="C14" s="54" t="s">
        <v>83</v>
      </c>
      <c r="D14" s="39"/>
      <c r="E14" s="39"/>
      <c r="F14" s="13"/>
      <c r="H14" s="52"/>
      <c r="I14" s="52" t="s">
        <v>4</v>
      </c>
      <c r="J14" s="197"/>
      <c r="K14" s="197">
        <v>0</v>
      </c>
    </row>
    <row r="15" spans="1:11" ht="13.5" customHeight="1" x14ac:dyDescent="0.3">
      <c r="A15" s="13" t="s">
        <v>47</v>
      </c>
      <c r="B15" s="52"/>
      <c r="C15" s="54" t="s">
        <v>82</v>
      </c>
      <c r="D15" s="39"/>
      <c r="E15" s="39"/>
      <c r="F15" s="13"/>
      <c r="H15" s="52"/>
      <c r="I15" s="52" t="s">
        <v>5</v>
      </c>
      <c r="J15" s="197"/>
      <c r="K15" s="197">
        <v>0</v>
      </c>
    </row>
    <row r="16" spans="1:11" ht="15.6" x14ac:dyDescent="0.3">
      <c r="A16" s="13"/>
      <c r="B16" s="13"/>
      <c r="C16" s="13"/>
      <c r="D16" s="13"/>
      <c r="E16" s="13"/>
      <c r="F16" s="13"/>
      <c r="H16" s="52"/>
      <c r="I16" s="52" t="s">
        <v>6</v>
      </c>
      <c r="J16" s="197"/>
      <c r="K16" s="197">
        <v>0</v>
      </c>
    </row>
    <row r="17" spans="1:11" ht="12.9" customHeight="1" x14ac:dyDescent="0.3">
      <c r="A17" s="13"/>
      <c r="B17" s="13"/>
      <c r="C17" s="13"/>
      <c r="D17" s="13"/>
      <c r="E17" s="13"/>
      <c r="F17" s="13"/>
      <c r="H17" s="52"/>
      <c r="I17" s="52" t="s">
        <v>7</v>
      </c>
      <c r="J17" s="197"/>
      <c r="K17" s="172">
        <v>1</v>
      </c>
    </row>
    <row r="18" spans="1:11" ht="20.25" customHeight="1" x14ac:dyDescent="0.3">
      <c r="A18" s="13"/>
      <c r="B18" s="13"/>
      <c r="C18" s="13"/>
      <c r="D18" s="13"/>
      <c r="E18" s="13"/>
      <c r="F18" s="13"/>
      <c r="G18" s="13"/>
      <c r="H18" s="13"/>
      <c r="I18" s="13"/>
      <c r="J18" s="193"/>
      <c r="K18" s="13"/>
    </row>
    <row r="19" spans="1:11" ht="13.5" customHeight="1" x14ac:dyDescent="0.3">
      <c r="A19" s="534" t="s">
        <v>8</v>
      </c>
      <c r="B19" s="535" t="s">
        <v>9</v>
      </c>
      <c r="C19" s="535" t="s">
        <v>51</v>
      </c>
      <c r="D19" s="534" t="s">
        <v>12</v>
      </c>
      <c r="E19" s="534"/>
      <c r="F19" s="534"/>
      <c r="G19" s="534"/>
      <c r="H19" s="535" t="s">
        <v>14</v>
      </c>
      <c r="I19" s="535" t="s">
        <v>13</v>
      </c>
      <c r="J19" s="535" t="s">
        <v>54</v>
      </c>
      <c r="K19" s="535" t="s">
        <v>16</v>
      </c>
    </row>
    <row r="20" spans="1:11" ht="30.9" customHeight="1" x14ac:dyDescent="0.3">
      <c r="A20" s="534"/>
      <c r="B20" s="535"/>
      <c r="C20" s="535"/>
      <c r="D20" s="194" t="s">
        <v>10</v>
      </c>
      <c r="E20" s="194" t="s">
        <v>15</v>
      </c>
      <c r="F20" s="194"/>
      <c r="G20" s="194" t="s">
        <v>11</v>
      </c>
      <c r="H20" s="535"/>
      <c r="I20" s="535"/>
      <c r="J20" s="535"/>
      <c r="K20" s="535"/>
    </row>
    <row r="21" spans="1:11" ht="13.5" customHeight="1" x14ac:dyDescent="0.3">
      <c r="A21" s="40"/>
      <c r="B21" s="183"/>
      <c r="C21" s="184" t="s">
        <v>49</v>
      </c>
      <c r="D21" s="12"/>
      <c r="E21" s="12"/>
      <c r="F21" s="12"/>
      <c r="G21" s="12"/>
      <c r="H21" s="12"/>
      <c r="I21" s="12"/>
      <c r="J21" s="12"/>
      <c r="K21" s="11"/>
    </row>
    <row r="22" spans="1:11" ht="15" x14ac:dyDescent="0.3">
      <c r="A22" s="194">
        <v>1</v>
      </c>
      <c r="B22" s="198" t="s">
        <v>58</v>
      </c>
      <c r="C22" s="17" t="s">
        <v>59</v>
      </c>
      <c r="D22" s="51">
        <v>1.9</v>
      </c>
      <c r="E22" s="51">
        <v>1.9</v>
      </c>
      <c r="F22" s="44"/>
      <c r="G22" s="171">
        <v>1.9</v>
      </c>
      <c r="H22" s="36"/>
      <c r="I22" s="186">
        <v>3</v>
      </c>
      <c r="J22" s="50">
        <v>49.5</v>
      </c>
      <c r="K22" s="198" t="s">
        <v>91</v>
      </c>
    </row>
    <row r="23" spans="1:11" ht="14.25" customHeight="1" x14ac:dyDescent="0.3">
      <c r="A23" s="194"/>
      <c r="B23" s="198"/>
      <c r="C23" s="17"/>
      <c r="D23" s="51"/>
      <c r="E23" s="51"/>
      <c r="F23" s="44"/>
      <c r="G23" s="171"/>
      <c r="H23" s="36"/>
      <c r="I23" s="186"/>
      <c r="J23" s="50"/>
      <c r="K23" s="198"/>
    </row>
    <row r="24" spans="1:11" ht="15.75" customHeight="1" x14ac:dyDescent="0.3">
      <c r="A24" s="194"/>
      <c r="B24" s="198"/>
      <c r="C24" s="17"/>
      <c r="D24" s="51"/>
      <c r="E24" s="51"/>
      <c r="F24" s="44"/>
      <c r="G24" s="171"/>
      <c r="H24" s="36"/>
      <c r="I24" s="186"/>
      <c r="J24" s="50"/>
      <c r="K24" s="198"/>
    </row>
    <row r="25" spans="1:11" ht="15" x14ac:dyDescent="0.3">
      <c r="A25" s="194"/>
      <c r="B25" s="198"/>
      <c r="C25" s="17"/>
      <c r="D25" s="51"/>
      <c r="E25" s="51"/>
      <c r="F25" s="44"/>
      <c r="G25" s="171"/>
      <c r="H25" s="36"/>
      <c r="I25" s="186"/>
      <c r="J25" s="50"/>
      <c r="K25" s="198"/>
    </row>
    <row r="26" spans="1:11" ht="15" x14ac:dyDescent="0.3">
      <c r="A26" s="194"/>
      <c r="B26" s="198"/>
      <c r="C26" s="17"/>
      <c r="D26" s="51"/>
      <c r="E26" s="51"/>
      <c r="F26" s="44"/>
      <c r="G26" s="171"/>
      <c r="H26" s="36"/>
      <c r="I26" s="186"/>
      <c r="J26" s="50"/>
      <c r="K26" s="198"/>
    </row>
    <row r="27" spans="1:11" ht="16.5" customHeight="1" x14ac:dyDescent="0.3">
      <c r="A27" s="194"/>
      <c r="B27" s="198"/>
      <c r="C27" s="17"/>
      <c r="D27" s="51"/>
      <c r="E27" s="51"/>
      <c r="F27" s="44"/>
      <c r="G27" s="171"/>
      <c r="H27" s="36"/>
      <c r="I27" s="186"/>
      <c r="J27" s="50"/>
      <c r="K27" s="198"/>
    </row>
    <row r="28" spans="1:11" ht="15" x14ac:dyDescent="0.3">
      <c r="A28" s="194"/>
      <c r="B28" s="198"/>
      <c r="C28" s="17"/>
      <c r="D28" s="51"/>
      <c r="E28" s="51"/>
      <c r="F28" s="44"/>
      <c r="G28" s="171"/>
      <c r="H28" s="36"/>
      <c r="I28" s="186"/>
      <c r="J28" s="50"/>
      <c r="K28" s="198"/>
    </row>
    <row r="29" spans="1:11" ht="17.25" customHeight="1" x14ac:dyDescent="0.3">
      <c r="A29" s="194"/>
      <c r="B29" s="198"/>
      <c r="C29" s="17"/>
      <c r="D29" s="51"/>
      <c r="E29" s="51"/>
      <c r="F29" s="44"/>
      <c r="G29" s="171"/>
      <c r="H29" s="36"/>
      <c r="I29" s="186"/>
      <c r="J29" s="50"/>
      <c r="K29" s="198"/>
    </row>
    <row r="30" spans="1:11" ht="15" x14ac:dyDescent="0.3">
      <c r="A30" s="194"/>
      <c r="B30" s="198"/>
      <c r="C30" s="17"/>
      <c r="D30" s="51"/>
      <c r="E30" s="51"/>
      <c r="F30" s="44"/>
      <c r="G30" s="171"/>
      <c r="H30" s="36"/>
      <c r="I30" s="186"/>
      <c r="J30" s="50"/>
      <c r="K30" s="198"/>
    </row>
    <row r="31" spans="1:11" ht="16.5" customHeight="1" x14ac:dyDescent="0.3">
      <c r="A31" s="194"/>
      <c r="B31" s="198"/>
      <c r="C31" s="17"/>
      <c r="D31" s="51"/>
      <c r="E31" s="51"/>
      <c r="F31" s="44"/>
      <c r="G31" s="171"/>
      <c r="H31" s="36"/>
      <c r="I31" s="186"/>
      <c r="J31" s="50"/>
      <c r="K31" s="198"/>
    </row>
    <row r="32" spans="1:11" ht="15" x14ac:dyDescent="0.3">
      <c r="A32" s="194"/>
      <c r="B32" s="198"/>
      <c r="C32" s="17"/>
      <c r="D32" s="51"/>
      <c r="E32" s="51"/>
      <c r="F32" s="44"/>
      <c r="G32" s="171"/>
      <c r="H32" s="36"/>
      <c r="I32" s="186"/>
      <c r="J32" s="50"/>
      <c r="K32" s="198"/>
    </row>
    <row r="33" spans="1:11" ht="15" x14ac:dyDescent="0.3">
      <c r="A33" s="194"/>
      <c r="B33" s="198"/>
      <c r="C33" s="17"/>
      <c r="D33" s="51"/>
      <c r="E33" s="51"/>
      <c r="F33" s="44"/>
      <c r="G33" s="171"/>
      <c r="H33" s="36"/>
      <c r="I33" s="186"/>
      <c r="J33" s="50"/>
      <c r="K33" s="198"/>
    </row>
    <row r="34" spans="1:11" ht="15" x14ac:dyDescent="0.3">
      <c r="A34" s="194"/>
      <c r="B34" s="198"/>
      <c r="C34" s="17"/>
      <c r="D34" s="51"/>
      <c r="E34" s="51"/>
      <c r="F34" s="44"/>
      <c r="G34" s="171"/>
      <c r="H34" s="36"/>
      <c r="I34" s="186"/>
      <c r="J34" s="50"/>
      <c r="K34" s="198"/>
    </row>
    <row r="35" spans="1:11" ht="17.25" customHeight="1" x14ac:dyDescent="0.3">
      <c r="A35" s="194"/>
      <c r="B35" s="198"/>
      <c r="C35" s="17"/>
      <c r="D35" s="51"/>
      <c r="E35" s="51"/>
      <c r="F35" s="44"/>
      <c r="G35" s="171"/>
      <c r="H35" s="36"/>
      <c r="I35" s="186"/>
      <c r="J35" s="50"/>
      <c r="K35" s="198"/>
    </row>
    <row r="36" spans="1:11" ht="15.75" customHeight="1" x14ac:dyDescent="0.3">
      <c r="A36" s="194"/>
      <c r="B36" s="198"/>
      <c r="C36" s="17"/>
      <c r="D36" s="51"/>
      <c r="E36" s="51"/>
      <c r="F36" s="44"/>
      <c r="G36" s="171"/>
      <c r="H36" s="36"/>
      <c r="I36" s="186"/>
      <c r="J36" s="50"/>
      <c r="K36" s="198"/>
    </row>
    <row r="37" spans="1:11" ht="15" x14ac:dyDescent="0.3">
      <c r="A37" s="194"/>
      <c r="B37" s="198"/>
      <c r="C37" s="17"/>
      <c r="D37" s="51"/>
      <c r="E37" s="51"/>
      <c r="F37" s="44"/>
      <c r="G37" s="171"/>
      <c r="H37" s="36"/>
      <c r="I37" s="186"/>
      <c r="J37" s="50"/>
      <c r="K37" s="198"/>
    </row>
    <row r="38" spans="1:11" ht="15" x14ac:dyDescent="0.3">
      <c r="A38" s="194"/>
      <c r="B38" s="198"/>
      <c r="C38" s="17"/>
      <c r="D38" s="51"/>
      <c r="E38" s="51"/>
      <c r="F38" s="44"/>
      <c r="G38" s="171"/>
      <c r="H38" s="36"/>
      <c r="I38" s="186"/>
      <c r="J38" s="50"/>
      <c r="K38" s="198"/>
    </row>
    <row r="39" spans="1:11" ht="15" x14ac:dyDescent="0.3">
      <c r="A39" s="194"/>
      <c r="B39" s="198"/>
      <c r="C39" s="17"/>
      <c r="D39" s="51"/>
      <c r="E39" s="51"/>
      <c r="F39" s="44"/>
      <c r="G39" s="171"/>
      <c r="H39" s="36"/>
      <c r="I39" s="186"/>
      <c r="J39" s="50"/>
      <c r="K39" s="198"/>
    </row>
    <row r="40" spans="1:11" ht="15" x14ac:dyDescent="0.3">
      <c r="A40" s="194"/>
      <c r="B40" s="198"/>
      <c r="C40" s="17"/>
      <c r="D40" s="51"/>
      <c r="E40" s="51"/>
      <c r="F40" s="44"/>
      <c r="G40" s="171"/>
      <c r="H40" s="36"/>
      <c r="I40" s="186"/>
      <c r="J40" s="50"/>
      <c r="K40" s="198"/>
    </row>
    <row r="41" spans="1:11" ht="15" x14ac:dyDescent="0.3">
      <c r="A41" s="194"/>
      <c r="B41" s="198"/>
      <c r="C41" s="17"/>
      <c r="D41" s="51"/>
      <c r="E41" s="51"/>
      <c r="F41" s="44"/>
      <c r="G41" s="171"/>
      <c r="H41" s="36"/>
      <c r="I41" s="186"/>
      <c r="J41" s="50"/>
      <c r="K41" s="198"/>
    </row>
    <row r="42" spans="1:11" ht="15" x14ac:dyDescent="0.3">
      <c r="A42" s="194"/>
      <c r="B42" s="198"/>
      <c r="C42" s="17"/>
      <c r="D42" s="51"/>
      <c r="E42" s="51"/>
      <c r="F42" s="44"/>
      <c r="G42" s="171"/>
      <c r="H42" s="36"/>
      <c r="I42" s="186"/>
      <c r="J42" s="50"/>
      <c r="K42" s="198"/>
    </row>
    <row r="43" spans="1:11" ht="15" x14ac:dyDescent="0.3">
      <c r="A43" s="194"/>
      <c r="B43" s="198"/>
      <c r="C43" s="17"/>
      <c r="D43" s="51"/>
      <c r="E43" s="51"/>
      <c r="F43" s="44"/>
      <c r="G43" s="171"/>
      <c r="H43" s="36"/>
      <c r="I43" s="186"/>
      <c r="J43" s="50"/>
      <c r="K43" s="198"/>
    </row>
    <row r="44" spans="1:11" ht="15" customHeight="1" x14ac:dyDescent="0.3">
      <c r="A44" s="194"/>
      <c r="B44" s="198"/>
      <c r="C44" s="17"/>
      <c r="D44" s="51"/>
      <c r="E44" s="51"/>
      <c r="F44" s="44"/>
      <c r="G44" s="171"/>
      <c r="H44" s="36"/>
      <c r="I44" s="186"/>
      <c r="J44" s="50"/>
      <c r="K44" s="198"/>
    </row>
    <row r="45" spans="1:11" ht="15" x14ac:dyDescent="0.3">
      <c r="A45" s="194"/>
      <c r="B45" s="198"/>
      <c r="C45" s="17"/>
      <c r="D45" s="51"/>
      <c r="E45" s="51"/>
      <c r="F45" s="44"/>
      <c r="G45" s="171"/>
      <c r="H45" s="36"/>
      <c r="I45" s="186"/>
      <c r="J45" s="50"/>
      <c r="K45" s="198"/>
    </row>
    <row r="46" spans="1:11" ht="15" x14ac:dyDescent="0.3">
      <c r="A46" s="194"/>
      <c r="B46" s="198"/>
      <c r="C46" s="17"/>
      <c r="D46" s="51"/>
      <c r="E46" s="51"/>
      <c r="F46" s="44"/>
      <c r="G46" s="171"/>
      <c r="H46" s="36"/>
      <c r="I46" s="186"/>
      <c r="J46" s="50"/>
      <c r="K46" s="198"/>
    </row>
    <row r="47" spans="1:11" ht="15" x14ac:dyDescent="0.3">
      <c r="A47" s="194"/>
      <c r="B47" s="198"/>
      <c r="C47" s="17"/>
      <c r="D47" s="51"/>
      <c r="E47" s="51"/>
      <c r="F47" s="44"/>
      <c r="G47" s="171"/>
      <c r="H47" s="36"/>
      <c r="I47" s="186"/>
      <c r="J47" s="50"/>
      <c r="K47" s="198"/>
    </row>
    <row r="48" spans="1:11" ht="15" x14ac:dyDescent="0.3">
      <c r="A48" s="194"/>
      <c r="B48" s="198"/>
      <c r="C48" s="17"/>
      <c r="D48" s="51"/>
      <c r="E48" s="51"/>
      <c r="F48" s="44"/>
      <c r="G48" s="171"/>
      <c r="H48" s="36"/>
      <c r="I48" s="186"/>
      <c r="J48" s="50"/>
      <c r="K48" s="198"/>
    </row>
    <row r="49" spans="1:11" ht="15" customHeight="1" x14ac:dyDescent="0.3">
      <c r="A49" s="194"/>
      <c r="B49" s="198"/>
      <c r="C49" s="17"/>
      <c r="D49" s="51"/>
      <c r="E49" s="51"/>
      <c r="F49" s="44"/>
      <c r="G49" s="171"/>
      <c r="H49" s="36"/>
      <c r="I49" s="186"/>
      <c r="J49" s="50"/>
      <c r="K49" s="198"/>
    </row>
    <row r="50" spans="1:11" ht="15" x14ac:dyDescent="0.3">
      <c r="A50" s="194"/>
      <c r="B50" s="198"/>
      <c r="C50" s="17"/>
      <c r="D50" s="51"/>
      <c r="E50" s="51"/>
      <c r="F50" s="44"/>
      <c r="G50" s="171"/>
      <c r="H50" s="36"/>
      <c r="I50" s="186"/>
      <c r="J50" s="50"/>
      <c r="K50" s="198"/>
    </row>
    <row r="51" spans="1:11" ht="15" x14ac:dyDescent="0.3">
      <c r="A51" s="194"/>
      <c r="B51" s="198"/>
      <c r="C51" s="17"/>
      <c r="D51" s="51"/>
      <c r="E51" s="51"/>
      <c r="F51" s="44"/>
      <c r="G51" s="171"/>
      <c r="H51" s="36"/>
      <c r="I51" s="186"/>
      <c r="J51" s="50"/>
      <c r="K51" s="198"/>
    </row>
    <row r="52" spans="1:11" ht="15" x14ac:dyDescent="0.3">
      <c r="A52" s="194"/>
      <c r="B52" s="198"/>
      <c r="C52" s="17"/>
      <c r="D52" s="51"/>
      <c r="E52" s="51"/>
      <c r="F52" s="44"/>
      <c r="G52" s="171"/>
      <c r="H52" s="36"/>
      <c r="I52" s="186"/>
      <c r="J52" s="50"/>
      <c r="K52" s="198"/>
    </row>
    <row r="53" spans="1:11" ht="15" x14ac:dyDescent="0.3">
      <c r="A53" s="194"/>
      <c r="B53" s="198"/>
      <c r="C53" s="17"/>
      <c r="D53" s="51"/>
      <c r="E53" s="51"/>
      <c r="F53" s="44"/>
      <c r="G53" s="171"/>
      <c r="H53" s="36"/>
      <c r="I53" s="186"/>
      <c r="J53" s="50"/>
      <c r="K53" s="198"/>
    </row>
    <row r="54" spans="1:11" ht="15" x14ac:dyDescent="0.3">
      <c r="A54" s="40"/>
      <c r="B54" s="40"/>
      <c r="C54" s="33" t="s">
        <v>55</v>
      </c>
      <c r="D54" s="43"/>
      <c r="E54" s="43"/>
      <c r="F54" s="44"/>
      <c r="G54" s="43"/>
      <c r="H54" s="36"/>
      <c r="I54" s="186"/>
      <c r="J54" s="50"/>
      <c r="K54" s="12"/>
    </row>
    <row r="55" spans="1:11" x14ac:dyDescent="0.3">
      <c r="A55" s="40"/>
      <c r="B55" s="185"/>
      <c r="C55" s="187"/>
      <c r="D55" s="43"/>
      <c r="E55" s="43"/>
      <c r="F55" s="44"/>
      <c r="G55" s="43"/>
      <c r="H55" s="36"/>
      <c r="I55" s="45"/>
      <c r="J55" s="41"/>
      <c r="K55" s="12"/>
    </row>
    <row r="56" spans="1:11" ht="24" customHeight="1" x14ac:dyDescent="0.3">
      <c r="A56" s="24"/>
      <c r="B56" s="25"/>
      <c r="C56" s="26"/>
      <c r="D56" s="27"/>
      <c r="E56" s="27"/>
      <c r="F56" s="27"/>
      <c r="G56" s="28"/>
      <c r="H56" s="29"/>
      <c r="I56" s="30"/>
      <c r="J56" s="31"/>
      <c r="K56" s="32"/>
    </row>
    <row r="57" spans="1:11" ht="14.2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2"/>
      <c r="K57" s="3"/>
    </row>
    <row r="58" spans="1:11" x14ac:dyDescent="0.3">
      <c r="A58" s="3"/>
      <c r="B58" s="3"/>
      <c r="C58" s="3"/>
      <c r="D58" s="3"/>
      <c r="E58" s="3"/>
      <c r="F58" s="3"/>
      <c r="G58" s="3"/>
      <c r="H58" s="3"/>
      <c r="I58" s="3"/>
      <c r="J58" s="32"/>
      <c r="K58" s="3"/>
    </row>
    <row r="59" spans="1:11" x14ac:dyDescent="0.3">
      <c r="A59" s="3"/>
      <c r="B59" s="3"/>
      <c r="C59" s="3"/>
      <c r="D59" s="3"/>
      <c r="E59" s="3"/>
      <c r="F59" s="3"/>
      <c r="G59" s="3"/>
      <c r="H59" s="3"/>
      <c r="I59" s="3"/>
      <c r="J59" s="32"/>
      <c r="K59" s="3"/>
    </row>
    <row r="60" spans="1:11" x14ac:dyDescent="0.3">
      <c r="A60" s="3"/>
      <c r="B60" s="3"/>
      <c r="C60" s="3"/>
      <c r="D60" s="3"/>
      <c r="E60" s="3"/>
      <c r="F60" s="3"/>
      <c r="G60" s="3"/>
      <c r="H60" s="3"/>
      <c r="I60" s="3"/>
      <c r="J60" s="32"/>
      <c r="K60" s="3"/>
    </row>
    <row r="61" spans="1:11" x14ac:dyDescent="0.3">
      <c r="A61" s="3"/>
      <c r="B61" s="3"/>
      <c r="C61" s="3"/>
      <c r="D61" s="3"/>
      <c r="E61" s="3"/>
      <c r="F61" s="3"/>
      <c r="G61" s="3"/>
      <c r="H61" s="3"/>
      <c r="I61" s="3"/>
      <c r="J61" s="32"/>
      <c r="K61" s="3"/>
    </row>
    <row r="62" spans="1:11" ht="34.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2"/>
      <c r="K62" s="3"/>
    </row>
    <row r="63" spans="1:11" ht="21.75" customHeight="1" x14ac:dyDescent="0.3">
      <c r="A63" s="530"/>
      <c r="B63" s="531"/>
      <c r="C63" s="531"/>
      <c r="D63" s="531"/>
      <c r="E63" s="531"/>
      <c r="F63" s="531"/>
      <c r="G63" s="531"/>
      <c r="H63" s="531"/>
      <c r="I63" s="531"/>
      <c r="J63" s="531"/>
      <c r="K63" s="531"/>
    </row>
    <row r="64" spans="1:11" ht="60" customHeight="1" x14ac:dyDescent="0.3">
      <c r="A64" s="530" t="s">
        <v>98</v>
      </c>
      <c r="B64" s="531"/>
      <c r="C64" s="531"/>
      <c r="D64" s="531"/>
      <c r="E64" s="531"/>
      <c r="F64" s="531"/>
      <c r="G64" s="531"/>
      <c r="H64" s="531"/>
      <c r="I64" s="531"/>
      <c r="J64" s="531"/>
      <c r="K64" s="531"/>
    </row>
    <row r="65" spans="1:11" ht="18" customHeight="1" x14ac:dyDescent="0.3"/>
    <row r="66" spans="1:11" ht="19.5" customHeight="1" x14ac:dyDescent="0.3">
      <c r="A66" s="536"/>
      <c r="B66" s="537"/>
      <c r="C66" s="537"/>
      <c r="D66" s="537"/>
      <c r="E66" s="537"/>
      <c r="F66" s="537"/>
      <c r="G66" s="537"/>
      <c r="H66" s="537"/>
      <c r="I66" s="537"/>
      <c r="J66" s="537"/>
      <c r="K66" s="537"/>
    </row>
    <row r="67" spans="1:11" ht="16.5" customHeight="1" x14ac:dyDescent="0.3">
      <c r="B67" s="1"/>
    </row>
    <row r="68" spans="1:11" x14ac:dyDescent="0.3">
      <c r="B68" s="2"/>
    </row>
    <row r="69" spans="1:11" x14ac:dyDescent="0.3">
      <c r="B69" s="1"/>
    </row>
    <row r="70" spans="1:11" x14ac:dyDescent="0.3">
      <c r="A70" s="3"/>
      <c r="B70" s="3"/>
      <c r="C70" s="3"/>
      <c r="D70" s="3"/>
      <c r="E70" s="3"/>
      <c r="F70" s="3"/>
      <c r="G70" s="3"/>
      <c r="H70" s="3"/>
      <c r="I70" s="3"/>
      <c r="J70" s="32"/>
      <c r="K70" s="3"/>
    </row>
    <row r="71" spans="1:11" x14ac:dyDescent="0.3">
      <c r="A71" s="35"/>
      <c r="B71" s="13"/>
      <c r="C71" s="13"/>
      <c r="D71" s="13"/>
      <c r="E71" s="13"/>
      <c r="F71" s="13"/>
      <c r="G71" s="13"/>
      <c r="H71" s="13"/>
      <c r="I71" s="13"/>
      <c r="J71" s="193"/>
      <c r="K71" s="13"/>
    </row>
    <row r="72" spans="1:11" x14ac:dyDescent="0.3">
      <c r="A72" s="538"/>
      <c r="B72" s="538"/>
      <c r="C72" s="538"/>
      <c r="D72" s="538"/>
      <c r="E72" s="538"/>
      <c r="F72" s="538"/>
      <c r="G72" s="538"/>
      <c r="H72" s="538"/>
      <c r="I72" s="538"/>
      <c r="J72" s="538"/>
      <c r="K72" s="538"/>
    </row>
    <row r="73" spans="1:11" x14ac:dyDescent="0.3">
      <c r="A73" s="539"/>
      <c r="B73" s="539"/>
      <c r="C73" s="539"/>
      <c r="D73" s="539"/>
      <c r="E73" s="539"/>
      <c r="F73" s="539"/>
      <c r="G73" s="539"/>
      <c r="H73" s="539"/>
      <c r="I73" s="539"/>
      <c r="J73" s="539"/>
      <c r="K73" s="539"/>
    </row>
    <row r="74" spans="1:11" x14ac:dyDescent="0.3">
      <c r="A74" s="539"/>
      <c r="B74" s="539"/>
      <c r="C74" s="539"/>
      <c r="D74" s="539"/>
      <c r="E74" s="539"/>
      <c r="F74" s="539"/>
      <c r="G74" s="539"/>
      <c r="H74" s="539"/>
      <c r="I74" s="539"/>
      <c r="J74" s="539"/>
      <c r="K74" s="539"/>
    </row>
    <row r="75" spans="1:11" x14ac:dyDescent="0.3">
      <c r="A75" s="13"/>
      <c r="B75" s="13"/>
      <c r="C75" s="13"/>
      <c r="D75" s="13"/>
      <c r="E75" s="13"/>
      <c r="F75" s="13"/>
      <c r="G75" s="13"/>
      <c r="H75" s="13"/>
      <c r="I75" s="13"/>
      <c r="J75" s="193"/>
      <c r="K75" s="13"/>
    </row>
    <row r="76" spans="1:11" x14ac:dyDescent="0.3">
      <c r="A76" s="13"/>
      <c r="B76" s="13"/>
      <c r="C76" s="13"/>
      <c r="D76" s="13"/>
      <c r="E76" s="13"/>
      <c r="F76" s="13"/>
      <c r="H76" s="14"/>
      <c r="I76" s="13"/>
      <c r="J76" s="193"/>
      <c r="K76" s="193"/>
    </row>
    <row r="77" spans="1:11" x14ac:dyDescent="0.3">
      <c r="A77" s="13"/>
      <c r="B77" s="13"/>
      <c r="C77" s="13"/>
      <c r="D77" s="13"/>
      <c r="E77" s="13"/>
      <c r="F77" s="13"/>
      <c r="J77"/>
    </row>
    <row r="78" spans="1:11" ht="15" customHeight="1" x14ac:dyDescent="0.3">
      <c r="A78" s="13"/>
      <c r="B78" s="13"/>
      <c r="C78" s="13"/>
      <c r="D78" s="13"/>
      <c r="E78" s="13"/>
      <c r="F78" s="13"/>
      <c r="J78"/>
    </row>
    <row r="79" spans="1:11" ht="15" customHeight="1" x14ac:dyDescent="0.3">
      <c r="A79" s="13"/>
      <c r="B79" s="13"/>
      <c r="C79" s="13"/>
      <c r="D79" s="13"/>
      <c r="E79" s="13"/>
      <c r="F79" s="13"/>
      <c r="J79"/>
    </row>
    <row r="80" spans="1:11" ht="14.25" customHeight="1" x14ac:dyDescent="0.3">
      <c r="A80" s="13"/>
      <c r="B80" s="13"/>
      <c r="C80" s="13"/>
      <c r="D80" s="13"/>
      <c r="E80" s="13"/>
      <c r="F80" s="13"/>
      <c r="J80"/>
    </row>
    <row r="81" spans="1:10" x14ac:dyDescent="0.3">
      <c r="A81" s="13"/>
      <c r="B81" s="13"/>
      <c r="C81" s="13"/>
      <c r="D81" s="13"/>
      <c r="E81" s="13"/>
      <c r="F81" s="13"/>
      <c r="J81"/>
    </row>
    <row r="82" spans="1:10" x14ac:dyDescent="0.3">
      <c r="A82" s="13"/>
      <c r="B82" s="13"/>
      <c r="C82" s="13"/>
      <c r="D82" s="13"/>
      <c r="E82" s="13"/>
      <c r="F82" s="13"/>
      <c r="J82"/>
    </row>
    <row r="83" spans="1:10" x14ac:dyDescent="0.3">
      <c r="A83" s="13"/>
      <c r="B83" s="13"/>
      <c r="C83" s="13"/>
      <c r="D83" s="13"/>
      <c r="E83" s="13"/>
      <c r="F83" s="13"/>
      <c r="G83" s="13"/>
      <c r="J83"/>
    </row>
    <row r="84" spans="1:10" x14ac:dyDescent="0.3">
      <c r="A84" s="3"/>
      <c r="B84" s="3"/>
      <c r="C84" s="3"/>
      <c r="D84" s="3"/>
      <c r="E84" s="3"/>
      <c r="F84" s="3"/>
      <c r="G84" s="3"/>
    </row>
    <row r="85" spans="1:10" ht="7.5" customHeight="1" x14ac:dyDescent="0.3">
      <c r="A85" s="3"/>
      <c r="B85" s="3"/>
      <c r="C85" s="3"/>
      <c r="D85" s="3"/>
      <c r="E85" s="3"/>
      <c r="F85" s="3"/>
      <c r="G85" s="3"/>
    </row>
    <row r="86" spans="1:10" x14ac:dyDescent="0.3">
      <c r="A86" s="3"/>
      <c r="B86" s="3"/>
      <c r="C86" s="3"/>
      <c r="D86" s="3"/>
      <c r="E86" s="3"/>
      <c r="F86" s="3"/>
      <c r="G86" s="3"/>
    </row>
    <row r="87" spans="1:10" ht="22.5" customHeight="1" x14ac:dyDescent="0.3">
      <c r="A87" s="3"/>
      <c r="B87" s="3"/>
      <c r="C87" s="3"/>
      <c r="D87" s="3"/>
      <c r="E87" s="3"/>
      <c r="F87" s="3"/>
      <c r="G87" s="3"/>
    </row>
    <row r="88" spans="1:10" x14ac:dyDescent="0.3">
      <c r="A88" s="3"/>
      <c r="B88" s="3"/>
      <c r="C88" s="3"/>
      <c r="D88" s="3"/>
      <c r="E88" s="3"/>
      <c r="F88" s="3"/>
      <c r="G88" s="3"/>
    </row>
    <row r="89" spans="1:10" x14ac:dyDescent="0.3">
      <c r="A89" s="3"/>
      <c r="B89" s="3"/>
      <c r="C89" s="3"/>
      <c r="D89" s="3"/>
      <c r="E89" s="3"/>
      <c r="F89" s="3"/>
      <c r="G89" s="3"/>
    </row>
    <row r="90" spans="1:10" x14ac:dyDescent="0.3">
      <c r="A90" s="3"/>
      <c r="B90" s="3"/>
      <c r="C90" s="3"/>
      <c r="D90" s="3"/>
      <c r="E90" s="3"/>
      <c r="F90" s="3"/>
      <c r="G90" s="3"/>
    </row>
    <row r="91" spans="1:10" x14ac:dyDescent="0.3">
      <c r="A91" s="3"/>
      <c r="B91" s="3"/>
      <c r="C91" s="3"/>
      <c r="D91" s="3"/>
      <c r="E91" s="3"/>
      <c r="F91" s="3"/>
      <c r="G91" s="3"/>
    </row>
    <row r="92" spans="1:10" x14ac:dyDescent="0.3">
      <c r="A92" s="3"/>
      <c r="B92" s="3"/>
      <c r="C92" s="3"/>
      <c r="D92" s="3"/>
      <c r="E92" s="3"/>
      <c r="F92" s="3"/>
      <c r="G92" s="3"/>
    </row>
    <row r="93" spans="1:10" x14ac:dyDescent="0.3">
      <c r="A93" s="3"/>
      <c r="B93" s="3"/>
      <c r="C93" s="3"/>
      <c r="D93" s="3"/>
      <c r="E93" s="3"/>
      <c r="F93" s="3"/>
      <c r="G93" s="3"/>
    </row>
    <row r="94" spans="1:10" x14ac:dyDescent="0.3">
      <c r="A94" s="3"/>
      <c r="B94" s="3"/>
      <c r="C94" s="3"/>
      <c r="D94" s="3"/>
      <c r="E94" s="3"/>
      <c r="F94" s="3"/>
      <c r="G94" s="3"/>
    </row>
    <row r="95" spans="1:10" x14ac:dyDescent="0.3">
      <c r="A95" s="3"/>
      <c r="B95" s="3"/>
      <c r="C95" s="3"/>
      <c r="D95" s="3"/>
      <c r="E95" s="3"/>
      <c r="F95" s="3"/>
      <c r="G95" s="3"/>
    </row>
    <row r="96" spans="1:10" x14ac:dyDescent="0.3">
      <c r="A96" s="195"/>
      <c r="B96" s="196"/>
      <c r="C96" s="196"/>
      <c r="D96" s="196"/>
      <c r="E96" s="196"/>
      <c r="F96" s="196"/>
      <c r="G96" s="196"/>
    </row>
  </sheetData>
  <autoFilter ref="A19:K54" xr:uid="{00000000-0009-0000-0000-000001000000}">
    <filterColumn colId="3" showButton="0"/>
    <filterColumn colId="4" showButton="0"/>
    <filterColumn colId="5" showButton="0"/>
  </autoFilter>
  <mergeCells count="17">
    <mergeCell ref="A66:K66"/>
    <mergeCell ref="A72:K72"/>
    <mergeCell ref="A73:K73"/>
    <mergeCell ref="A74:K74"/>
    <mergeCell ref="A64:K64"/>
    <mergeCell ref="A63:K63"/>
    <mergeCell ref="A7:K7"/>
    <mergeCell ref="A8:K8"/>
    <mergeCell ref="A9:K9"/>
    <mergeCell ref="A19:A20"/>
    <mergeCell ref="B19:B20"/>
    <mergeCell ref="C19:C20"/>
    <mergeCell ref="D19:G19"/>
    <mergeCell ref="H19:H20"/>
    <mergeCell ref="I19:I20"/>
    <mergeCell ref="J19:J20"/>
    <mergeCell ref="K19:K20"/>
  </mergeCells>
  <pageMargins left="0.51181102362204722" right="0.31496062992125984" top="0.27559055118110237" bottom="0.19685039370078741" header="0.19685039370078741" footer="0.19685039370078741"/>
  <pageSetup paperSize="14" scale="90" fitToHeight="0" orientation="portrait" horizontalDpi="4294967292" verticalDpi="4294967292" r:id="rId1"/>
  <rowBreaks count="1" manualBreakCount="1">
    <brk id="81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2E95F-8EA3-47F8-9C01-9542F003A7A8}">
  <sheetPr>
    <tabColor rgb="FF00B0F0"/>
    <pageSetUpPr fitToPage="1"/>
  </sheetPr>
  <dimension ref="A1:BL78"/>
  <sheetViews>
    <sheetView view="pageBreakPreview" topLeftCell="A45" zoomScale="99" zoomScaleNormal="103" zoomScaleSheetLayoutView="141" zoomScalePageLayoutView="140" workbookViewId="0">
      <selection activeCell="R57" sqref="R57"/>
    </sheetView>
  </sheetViews>
  <sheetFormatPr defaultColWidth="8.88671875" defaultRowHeight="14.4" x14ac:dyDescent="0.3"/>
  <cols>
    <col min="1" max="1" width="3.109375" customWidth="1"/>
    <col min="2" max="2" width="9.109375" customWidth="1"/>
    <col min="3" max="3" width="18.5546875" customWidth="1"/>
    <col min="4" max="4" width="3.109375" customWidth="1"/>
    <col min="5" max="5" width="3" customWidth="1"/>
    <col min="6" max="6" width="3.109375" customWidth="1"/>
    <col min="7" max="7" width="3" customWidth="1"/>
    <col min="8" max="8" width="3.33203125" customWidth="1"/>
    <col min="9" max="9" width="2.44140625" hidden="1" customWidth="1"/>
    <col min="10" max="10" width="3" hidden="1" customWidth="1"/>
    <col min="11" max="11" width="2.6640625" customWidth="1"/>
    <col min="12" max="12" width="2.5546875" style="23" customWidth="1"/>
    <col min="13" max="13" width="3.109375" customWidth="1"/>
    <col min="14" max="14" width="2.77734375" customWidth="1"/>
    <col min="15" max="15" width="3.33203125" customWidth="1"/>
    <col min="16" max="16" width="2.77734375" hidden="1" customWidth="1"/>
    <col min="17" max="17" width="3" hidden="1" customWidth="1"/>
    <col min="18" max="18" width="3" customWidth="1"/>
    <col min="19" max="19" width="2.77734375" customWidth="1"/>
    <col min="20" max="20" width="3.21875" customWidth="1"/>
    <col min="21" max="21" width="3.109375" customWidth="1"/>
    <col min="22" max="22" width="3.44140625" customWidth="1"/>
    <col min="23" max="23" width="3.109375" customWidth="1"/>
    <col min="24" max="24" width="3" customWidth="1"/>
    <col min="25" max="25" width="3.109375" customWidth="1"/>
    <col min="26" max="26" width="3.21875" customWidth="1"/>
    <col min="27" max="27" width="3.33203125" customWidth="1"/>
    <col min="28" max="29" width="3.6640625" customWidth="1"/>
    <col min="30" max="30" width="3.33203125" customWidth="1"/>
    <col min="31" max="31" width="3.109375" customWidth="1"/>
    <col min="32" max="33" width="3.33203125" customWidth="1"/>
    <col min="34" max="34" width="2.77734375" customWidth="1"/>
    <col min="35" max="35" width="3" customWidth="1"/>
    <col min="36" max="36" width="3.21875" customWidth="1"/>
    <col min="37" max="37" width="3" customWidth="1"/>
    <col min="38" max="38" width="3.33203125" customWidth="1"/>
    <col min="39" max="39" width="3" customWidth="1"/>
    <col min="40" max="40" width="3.109375" customWidth="1"/>
    <col min="41" max="41" width="3.21875" customWidth="1"/>
    <col min="42" max="42" width="3" customWidth="1"/>
    <col min="43" max="43" width="3.33203125" customWidth="1"/>
    <col min="44" max="44" width="3" customWidth="1"/>
    <col min="45" max="45" width="3.21875" customWidth="1"/>
    <col min="46" max="47" width="3.109375" customWidth="1"/>
    <col min="48" max="48" width="3.6640625" customWidth="1"/>
    <col min="49" max="49" width="3" customWidth="1"/>
    <col min="50" max="50" width="3.21875" customWidth="1"/>
    <col min="51" max="51" width="3.33203125" customWidth="1"/>
    <col min="52" max="53" width="3.21875" customWidth="1"/>
    <col min="54" max="54" width="3.33203125" customWidth="1"/>
    <col min="55" max="55" width="3.77734375" customWidth="1"/>
    <col min="56" max="56" width="2.77734375" customWidth="1"/>
    <col min="57" max="57" width="3.6640625" customWidth="1"/>
    <col min="58" max="58" width="3.77734375" customWidth="1"/>
    <col min="59" max="59" width="3.33203125" customWidth="1"/>
    <col min="60" max="60" width="3.6640625" customWidth="1"/>
    <col min="61" max="62" width="3.33203125" customWidth="1"/>
    <col min="63" max="63" width="3.6640625" customWidth="1"/>
    <col min="64" max="64" width="8.44140625" customWidth="1"/>
  </cols>
  <sheetData>
    <row r="1" spans="1:64" ht="15.9" customHeight="1" x14ac:dyDescent="0.3">
      <c r="C1" s="538" t="s">
        <v>209</v>
      </c>
      <c r="D1" s="538"/>
      <c r="E1" s="538"/>
      <c r="F1" s="538"/>
      <c r="G1" s="538"/>
      <c r="H1" s="538"/>
      <c r="I1" s="538"/>
      <c r="J1" s="538"/>
      <c r="K1" s="538"/>
      <c r="L1" s="538"/>
      <c r="M1" s="538"/>
      <c r="N1" s="538"/>
      <c r="O1" s="538"/>
      <c r="P1" s="538"/>
      <c r="Q1" s="538"/>
      <c r="R1" s="538"/>
      <c r="S1" s="538"/>
      <c r="T1" s="538"/>
      <c r="U1" s="538"/>
      <c r="V1" s="538"/>
      <c r="W1" s="538"/>
      <c r="X1" s="538"/>
      <c r="Y1" s="538"/>
      <c r="Z1" s="538"/>
      <c r="AA1" s="538"/>
      <c r="AB1" s="538"/>
      <c r="AC1" s="538"/>
      <c r="AD1" s="538"/>
      <c r="AE1" s="538"/>
      <c r="AF1" s="538"/>
      <c r="AG1" s="538"/>
      <c r="AH1" s="538"/>
      <c r="AI1" s="538"/>
      <c r="AJ1" s="538"/>
      <c r="AK1" s="538"/>
      <c r="AL1" s="538"/>
      <c r="AM1" s="538"/>
      <c r="AN1" s="538"/>
      <c r="AO1" s="538"/>
      <c r="AP1" s="538"/>
      <c r="AQ1" s="538"/>
      <c r="AR1" s="538"/>
      <c r="AS1" s="538"/>
      <c r="AT1" s="538"/>
      <c r="AU1" s="538"/>
      <c r="AV1" s="538"/>
      <c r="AW1" s="538"/>
      <c r="AX1" s="538"/>
      <c r="AY1" s="538"/>
      <c r="AZ1" s="538"/>
      <c r="BA1" s="538"/>
      <c r="BB1" s="538"/>
      <c r="BC1" s="538"/>
      <c r="BD1" s="538"/>
      <c r="BE1" s="538"/>
      <c r="BF1" s="538"/>
      <c r="BG1" s="538"/>
      <c r="BH1" s="538"/>
      <c r="BI1" s="538"/>
      <c r="BJ1" s="538"/>
      <c r="BK1" s="538"/>
      <c r="BL1" s="538"/>
    </row>
    <row r="2" spans="1:64" ht="15" customHeight="1" x14ac:dyDescent="0.3">
      <c r="C2" s="222"/>
      <c r="D2" s="632" t="s">
        <v>19</v>
      </c>
      <c r="E2" s="632"/>
      <c r="F2" s="632"/>
      <c r="G2" s="632"/>
      <c r="H2" s="632"/>
      <c r="I2" s="633" t="s">
        <v>63</v>
      </c>
      <c r="J2" s="633"/>
      <c r="K2" s="633"/>
      <c r="L2" s="633"/>
      <c r="M2" s="633"/>
      <c r="N2" s="633"/>
      <c r="O2" s="633"/>
      <c r="P2" s="633"/>
      <c r="Q2" s="633"/>
      <c r="R2" s="633"/>
      <c r="S2" s="633"/>
      <c r="T2" s="633"/>
      <c r="U2" s="633"/>
      <c r="V2" s="633"/>
      <c r="W2" s="633"/>
      <c r="X2" s="633"/>
      <c r="Y2" s="633"/>
      <c r="Z2" s="633"/>
      <c r="AR2" s="634" t="s">
        <v>21</v>
      </c>
      <c r="AS2" s="634"/>
      <c r="AT2" s="634"/>
      <c r="AU2" s="634"/>
      <c r="AV2" s="634"/>
      <c r="AW2" s="635" t="s">
        <v>210</v>
      </c>
      <c r="AX2" s="635"/>
      <c r="AY2" s="635"/>
      <c r="AZ2" s="635"/>
      <c r="BA2" s="635"/>
      <c r="BB2" s="635"/>
      <c r="BC2" s="635"/>
      <c r="BD2" s="635"/>
      <c r="BE2" s="635"/>
      <c r="BF2" s="635"/>
      <c r="BG2" s="635"/>
      <c r="BH2" s="635"/>
    </row>
    <row r="3" spans="1:64" ht="15" customHeight="1" x14ac:dyDescent="0.3">
      <c r="D3" s="632" t="s">
        <v>20</v>
      </c>
      <c r="E3" s="632"/>
      <c r="F3" s="632"/>
      <c r="G3" s="632"/>
      <c r="H3" s="632"/>
      <c r="I3" s="633" t="s">
        <v>64</v>
      </c>
      <c r="J3" s="633"/>
      <c r="K3" s="633"/>
      <c r="L3" s="633"/>
      <c r="M3" s="633"/>
      <c r="N3" s="633"/>
      <c r="O3" s="633"/>
      <c r="P3" s="633"/>
      <c r="Q3" s="633"/>
      <c r="R3" s="633"/>
      <c r="S3" s="633"/>
      <c r="T3" s="633"/>
      <c r="U3" s="633"/>
      <c r="V3" s="633"/>
      <c r="W3" s="633"/>
      <c r="X3" s="633"/>
      <c r="Y3" s="633"/>
      <c r="Z3" s="633"/>
      <c r="AR3" s="634" t="s">
        <v>40</v>
      </c>
      <c r="AS3" s="634"/>
      <c r="AT3" s="634"/>
      <c r="AU3" s="634"/>
      <c r="AV3" s="634"/>
      <c r="AW3" s="635" t="s">
        <v>66</v>
      </c>
      <c r="AX3" s="635"/>
      <c r="AY3" s="635"/>
      <c r="AZ3" s="635"/>
      <c r="BA3" s="635"/>
      <c r="BB3" s="635"/>
      <c r="BC3" s="635"/>
      <c r="BD3" s="635"/>
      <c r="BE3" s="635"/>
      <c r="BF3" s="635"/>
      <c r="BG3" s="635"/>
      <c r="BH3" s="635"/>
    </row>
    <row r="4" spans="1:64" ht="15" customHeight="1" x14ac:dyDescent="0.3">
      <c r="C4" s="222" t="s">
        <v>36</v>
      </c>
      <c r="D4" s="632" t="s">
        <v>22</v>
      </c>
      <c r="E4" s="632"/>
      <c r="F4" s="632"/>
      <c r="G4" s="632"/>
      <c r="H4" s="632"/>
      <c r="I4" s="633" t="s">
        <v>309</v>
      </c>
      <c r="J4" s="633"/>
      <c r="K4" s="633"/>
      <c r="L4" s="633"/>
      <c r="M4" s="633"/>
      <c r="N4" s="633"/>
      <c r="O4" s="633"/>
      <c r="P4" s="633"/>
      <c r="Q4" s="633"/>
      <c r="R4" s="633"/>
      <c r="S4" s="633"/>
      <c r="T4" s="633"/>
      <c r="U4" s="633"/>
      <c r="V4" s="633"/>
      <c r="W4" s="633"/>
      <c r="X4" s="633"/>
      <c r="Y4" s="633"/>
      <c r="Z4" s="633"/>
      <c r="AR4" s="634" t="s">
        <v>41</v>
      </c>
      <c r="AS4" s="634"/>
      <c r="AT4" s="634"/>
      <c r="AU4" s="634"/>
      <c r="AV4" s="634"/>
      <c r="AW4" s="635" t="s">
        <v>310</v>
      </c>
      <c r="AX4" s="635"/>
      <c r="AY4" s="635"/>
      <c r="AZ4" s="635"/>
      <c r="BA4" s="635"/>
      <c r="BB4" s="635"/>
      <c r="BC4" s="635"/>
      <c r="BD4" s="635"/>
      <c r="BE4" s="635"/>
      <c r="BF4" s="635"/>
      <c r="BG4" s="635"/>
      <c r="BH4" s="635"/>
    </row>
    <row r="5" spans="1:64" ht="15" customHeight="1" x14ac:dyDescent="0.3">
      <c r="C5" s="222"/>
      <c r="D5" s="632" t="s">
        <v>23</v>
      </c>
      <c r="E5" s="632"/>
      <c r="F5" s="632"/>
      <c r="G5" s="632"/>
      <c r="H5" s="632"/>
      <c r="I5" s="633" t="s">
        <v>65</v>
      </c>
      <c r="J5" s="633"/>
      <c r="K5" s="633"/>
      <c r="L5" s="633"/>
      <c r="M5" s="633"/>
      <c r="N5" s="633"/>
      <c r="O5" s="633"/>
      <c r="P5" s="633"/>
      <c r="Q5" s="633"/>
      <c r="R5" s="633"/>
      <c r="S5" s="633"/>
      <c r="T5" s="633"/>
      <c r="U5" s="633"/>
      <c r="V5" s="633"/>
      <c r="W5" s="633"/>
      <c r="X5" s="633"/>
      <c r="Y5" s="633"/>
      <c r="Z5" s="633"/>
      <c r="AR5" s="634" t="s">
        <v>42</v>
      </c>
      <c r="AS5" s="634"/>
      <c r="AT5" s="634"/>
      <c r="AU5" s="634"/>
      <c r="AV5" s="634"/>
      <c r="AW5" s="635" t="s">
        <v>431</v>
      </c>
      <c r="AX5" s="635"/>
      <c r="AY5" s="635"/>
      <c r="AZ5" s="635"/>
      <c r="BA5" s="635"/>
      <c r="BB5" s="635"/>
      <c r="BC5" s="635"/>
      <c r="BD5" s="635"/>
      <c r="BE5" s="635"/>
      <c r="BF5" s="635"/>
      <c r="BG5" s="635"/>
      <c r="BH5" s="635"/>
    </row>
    <row r="6" spans="1:64" x14ac:dyDescent="0.3">
      <c r="C6" s="6" t="s">
        <v>37</v>
      </c>
      <c r="D6" s="16"/>
      <c r="E6" s="16"/>
      <c r="I6" s="5"/>
      <c r="K6" s="10"/>
      <c r="M6" s="7"/>
      <c r="Y6" s="8"/>
    </row>
    <row r="7" spans="1:64" ht="18.75" customHeight="1" x14ac:dyDescent="0.3">
      <c r="A7" s="610" t="s">
        <v>8</v>
      </c>
      <c r="B7" s="613" t="s">
        <v>24</v>
      </c>
      <c r="C7" s="616" t="s">
        <v>17</v>
      </c>
      <c r="D7" s="619" t="s">
        <v>62</v>
      </c>
      <c r="E7" s="620"/>
      <c r="F7" s="620"/>
      <c r="G7" s="620"/>
      <c r="H7" s="621"/>
      <c r="I7" s="69"/>
      <c r="J7" s="622" t="s">
        <v>67</v>
      </c>
      <c r="K7" s="623"/>
      <c r="L7" s="623"/>
      <c r="M7" s="623"/>
      <c r="N7" s="623"/>
      <c r="O7" s="623"/>
      <c r="P7" s="624"/>
      <c r="Q7" s="625" t="s">
        <v>30</v>
      </c>
      <c r="R7" s="626"/>
      <c r="S7" s="626"/>
      <c r="T7" s="626"/>
      <c r="U7" s="626"/>
      <c r="V7" s="626"/>
      <c r="W7" s="626"/>
      <c r="X7" s="626"/>
      <c r="Y7" s="626"/>
      <c r="Z7" s="626"/>
      <c r="AA7" s="626"/>
      <c r="AB7" s="626"/>
      <c r="AC7" s="626"/>
      <c r="AD7" s="627"/>
      <c r="AE7" s="595" t="s">
        <v>31</v>
      </c>
      <c r="AF7" s="596"/>
      <c r="AG7" s="596"/>
      <c r="AH7" s="597" t="s">
        <v>62</v>
      </c>
      <c r="AI7" s="598"/>
      <c r="AJ7" s="598"/>
      <c r="AK7" s="598"/>
      <c r="AL7" s="598"/>
      <c r="AM7" s="599" t="s">
        <v>67</v>
      </c>
      <c r="AN7" s="600"/>
      <c r="AO7" s="600"/>
      <c r="AP7" s="600"/>
      <c r="AQ7" s="601"/>
      <c r="AR7" s="602" t="s">
        <v>75</v>
      </c>
      <c r="AS7" s="603"/>
      <c r="AT7" s="603"/>
      <c r="AU7" s="603"/>
      <c r="AV7" s="603"/>
      <c r="AW7" s="603"/>
      <c r="AX7" s="603"/>
      <c r="AY7" s="603"/>
      <c r="AZ7" s="603"/>
      <c r="BA7" s="603"/>
      <c r="BB7" s="603"/>
      <c r="BC7" s="603"/>
      <c r="BD7" s="603"/>
      <c r="BE7" s="604"/>
      <c r="BF7" s="605" t="s">
        <v>32</v>
      </c>
      <c r="BG7" s="606"/>
      <c r="BH7" s="606"/>
      <c r="BI7" s="607" t="s">
        <v>88</v>
      </c>
      <c r="BJ7" s="578" t="s">
        <v>89</v>
      </c>
      <c r="BK7" s="581" t="s">
        <v>90</v>
      </c>
      <c r="BL7" s="584" t="s">
        <v>16</v>
      </c>
    </row>
    <row r="8" spans="1:64" ht="15.75" customHeight="1" x14ac:dyDescent="0.3">
      <c r="A8" s="611"/>
      <c r="B8" s="614"/>
      <c r="C8" s="617"/>
      <c r="D8" s="88" t="s">
        <v>25</v>
      </c>
      <c r="E8" s="89" t="s">
        <v>26</v>
      </c>
      <c r="F8" s="131" t="s">
        <v>70</v>
      </c>
      <c r="G8" s="587" t="s">
        <v>27</v>
      </c>
      <c r="H8" s="570">
        <v>0.15</v>
      </c>
      <c r="I8" s="590" t="s">
        <v>33</v>
      </c>
      <c r="J8" s="591"/>
      <c r="K8" s="91" t="s">
        <v>33</v>
      </c>
      <c r="L8" s="92" t="s">
        <v>34</v>
      </c>
      <c r="M8" s="132" t="s">
        <v>70</v>
      </c>
      <c r="N8" s="576" t="s">
        <v>27</v>
      </c>
      <c r="O8" s="570">
        <v>0.15</v>
      </c>
      <c r="P8" s="72"/>
      <c r="Q8" s="73"/>
      <c r="R8" s="592" t="s">
        <v>68</v>
      </c>
      <c r="S8" s="593"/>
      <c r="T8" s="224" t="s">
        <v>70</v>
      </c>
      <c r="U8" s="594" t="s">
        <v>27</v>
      </c>
      <c r="V8" s="548">
        <v>0.15</v>
      </c>
      <c r="W8" s="628" t="s">
        <v>69</v>
      </c>
      <c r="X8" s="629"/>
      <c r="Y8" s="130" t="s">
        <v>70</v>
      </c>
      <c r="Z8" s="630" t="s">
        <v>27</v>
      </c>
      <c r="AA8" s="559">
        <v>0.15</v>
      </c>
      <c r="AB8" s="97" t="s">
        <v>71</v>
      </c>
      <c r="AC8" s="568" t="s">
        <v>27</v>
      </c>
      <c r="AD8" s="570">
        <v>0.1</v>
      </c>
      <c r="AE8" s="99" t="s">
        <v>28</v>
      </c>
      <c r="AF8" s="572" t="s">
        <v>29</v>
      </c>
      <c r="AG8" s="574">
        <v>0.3</v>
      </c>
      <c r="AH8" s="133" t="s">
        <v>76</v>
      </c>
      <c r="AI8" s="134" t="s">
        <v>77</v>
      </c>
      <c r="AJ8" s="135" t="s">
        <v>70</v>
      </c>
      <c r="AK8" s="576" t="s">
        <v>27</v>
      </c>
      <c r="AL8" s="545">
        <v>0.15</v>
      </c>
      <c r="AM8" s="116" t="s">
        <v>78</v>
      </c>
      <c r="AN8" s="137" t="s">
        <v>79</v>
      </c>
      <c r="AO8" s="136" t="s">
        <v>70</v>
      </c>
      <c r="AP8" s="547" t="s">
        <v>27</v>
      </c>
      <c r="AQ8" s="548">
        <v>0.15</v>
      </c>
      <c r="AR8" s="550" t="s">
        <v>68</v>
      </c>
      <c r="AS8" s="551"/>
      <c r="AT8" s="138" t="s">
        <v>70</v>
      </c>
      <c r="AU8" s="552" t="s">
        <v>27</v>
      </c>
      <c r="AV8" s="559">
        <v>0.15</v>
      </c>
      <c r="AW8" s="561" t="s">
        <v>69</v>
      </c>
      <c r="AX8" s="562"/>
      <c r="AY8" s="121" t="s">
        <v>74</v>
      </c>
      <c r="AZ8" s="140" t="s">
        <v>70</v>
      </c>
      <c r="BA8" s="563" t="s">
        <v>27</v>
      </c>
      <c r="BB8" s="565">
        <v>0.15</v>
      </c>
      <c r="BC8" s="139" t="s">
        <v>71</v>
      </c>
      <c r="BD8" s="567" t="s">
        <v>27</v>
      </c>
      <c r="BE8" s="545">
        <v>0.1</v>
      </c>
      <c r="BF8" s="155" t="s">
        <v>28</v>
      </c>
      <c r="BG8" s="543" t="s">
        <v>29</v>
      </c>
      <c r="BH8" s="554">
        <v>0.3</v>
      </c>
      <c r="BI8" s="608"/>
      <c r="BJ8" s="579"/>
      <c r="BK8" s="582"/>
      <c r="BL8" s="585"/>
    </row>
    <row r="9" spans="1:64" ht="13.5" customHeight="1" x14ac:dyDescent="0.3">
      <c r="A9" s="612"/>
      <c r="B9" s="615"/>
      <c r="C9" s="618"/>
      <c r="D9" s="71">
        <v>50</v>
      </c>
      <c r="E9" s="71">
        <v>50</v>
      </c>
      <c r="F9" s="85">
        <v>100</v>
      </c>
      <c r="G9" s="588"/>
      <c r="H9" s="589"/>
      <c r="I9" s="19"/>
      <c r="J9" s="85">
        <v>30</v>
      </c>
      <c r="K9" s="85">
        <v>50</v>
      </c>
      <c r="L9" s="85">
        <v>50</v>
      </c>
      <c r="M9" s="71">
        <v>100</v>
      </c>
      <c r="N9" s="577"/>
      <c r="O9" s="571"/>
      <c r="P9" s="21" t="e">
        <f>ROUND(5-4*#REF!/50,1)</f>
        <v>#REF!</v>
      </c>
      <c r="Q9" s="21" t="e">
        <f>ROUND(5-4*P9/50,1)</f>
        <v>#REF!</v>
      </c>
      <c r="R9" s="269">
        <v>50</v>
      </c>
      <c r="S9" s="85">
        <v>50</v>
      </c>
      <c r="T9" s="94">
        <v>100</v>
      </c>
      <c r="U9" s="594"/>
      <c r="V9" s="549"/>
      <c r="W9" s="82">
        <v>100</v>
      </c>
      <c r="X9" s="82">
        <v>100</v>
      </c>
      <c r="Y9" s="82">
        <v>200</v>
      </c>
      <c r="Z9" s="631"/>
      <c r="AA9" s="560"/>
      <c r="AB9" s="19">
        <v>27</v>
      </c>
      <c r="AC9" s="569"/>
      <c r="AD9" s="571"/>
      <c r="AE9" s="19">
        <v>70</v>
      </c>
      <c r="AF9" s="573"/>
      <c r="AG9" s="575"/>
      <c r="AH9" s="19">
        <v>50</v>
      </c>
      <c r="AI9" s="19">
        <v>50</v>
      </c>
      <c r="AJ9" s="82">
        <v>100</v>
      </c>
      <c r="AK9" s="577"/>
      <c r="AL9" s="546"/>
      <c r="AM9" s="125">
        <v>50</v>
      </c>
      <c r="AN9" s="82">
        <v>50</v>
      </c>
      <c r="AO9" s="82">
        <v>100</v>
      </c>
      <c r="AP9" s="547"/>
      <c r="AQ9" s="549"/>
      <c r="AR9" s="82">
        <v>50</v>
      </c>
      <c r="AS9" s="127">
        <v>50</v>
      </c>
      <c r="AT9" s="82">
        <v>100</v>
      </c>
      <c r="AU9" s="553"/>
      <c r="AV9" s="560"/>
      <c r="AW9" s="127">
        <v>100</v>
      </c>
      <c r="AX9" s="127">
        <v>100</v>
      </c>
      <c r="AY9" s="127">
        <v>100</v>
      </c>
      <c r="AZ9" s="128">
        <v>300</v>
      </c>
      <c r="BA9" s="564"/>
      <c r="BB9" s="566"/>
      <c r="BC9" s="127">
        <v>27</v>
      </c>
      <c r="BD9" s="564"/>
      <c r="BE9" s="546"/>
      <c r="BF9" s="120">
        <v>70</v>
      </c>
      <c r="BG9" s="544"/>
      <c r="BH9" s="555"/>
      <c r="BI9" s="609"/>
      <c r="BJ9" s="580"/>
      <c r="BK9" s="583"/>
      <c r="BL9" s="586"/>
    </row>
    <row r="10" spans="1:64" ht="18" customHeight="1" x14ac:dyDescent="0.3">
      <c r="A10" s="42"/>
      <c r="B10" s="42"/>
      <c r="C10" s="239" t="s">
        <v>35</v>
      </c>
      <c r="D10" s="70"/>
      <c r="E10" s="70"/>
      <c r="F10" s="70"/>
      <c r="G10" s="70"/>
      <c r="H10" s="70"/>
      <c r="I10" s="72"/>
      <c r="J10" s="119"/>
      <c r="K10" s="119"/>
      <c r="L10" s="119"/>
      <c r="M10" s="119"/>
      <c r="N10" s="119"/>
      <c r="O10" s="119"/>
      <c r="P10" s="362" t="e">
        <f>ROUND(5-4*#REF!/10,1)</f>
        <v>#REF!</v>
      </c>
      <c r="Q10" s="363"/>
      <c r="R10" s="119"/>
      <c r="S10" s="66"/>
      <c r="T10" s="72"/>
      <c r="U10" s="364"/>
      <c r="V10" s="72"/>
      <c r="W10" s="119"/>
      <c r="X10" s="72"/>
      <c r="Y10" s="119"/>
      <c r="Z10" s="119"/>
      <c r="AA10" s="119"/>
      <c r="AB10" s="119"/>
      <c r="AC10" s="119"/>
      <c r="AD10" s="119"/>
      <c r="AE10" s="119"/>
      <c r="AF10" s="119"/>
      <c r="AG10" s="119"/>
      <c r="AH10" s="119"/>
      <c r="AI10" s="119"/>
      <c r="AJ10" s="119"/>
      <c r="AK10" s="119"/>
      <c r="AL10" s="119"/>
      <c r="AM10" s="119"/>
      <c r="AN10" s="72"/>
      <c r="AO10" s="72"/>
      <c r="AP10" s="72"/>
      <c r="AR10" s="118"/>
      <c r="AS10" s="72"/>
      <c r="AT10" s="72"/>
    </row>
    <row r="11" spans="1:64" ht="16.8" customHeight="1" x14ac:dyDescent="0.3">
      <c r="A11" s="271">
        <v>1</v>
      </c>
      <c r="B11" s="81" t="s">
        <v>473</v>
      </c>
      <c r="C11" s="527" t="s">
        <v>474</v>
      </c>
      <c r="D11" s="83">
        <v>10</v>
      </c>
      <c r="E11" s="83">
        <v>24</v>
      </c>
      <c r="F11" s="93">
        <f>SUM(D11+E11)</f>
        <v>34</v>
      </c>
      <c r="G11" s="266">
        <f>ROUND(AVERAGE(5-4*(F11)/(F9)),1)</f>
        <v>3.6</v>
      </c>
      <c r="H11" s="108">
        <f>G11*0.15</f>
        <v>0.54</v>
      </c>
      <c r="I11" s="87">
        <v>28</v>
      </c>
      <c r="J11" s="305">
        <f>ROUND(5-4*I11/30,1)</f>
        <v>1.3</v>
      </c>
      <c r="K11" s="87">
        <v>30</v>
      </c>
      <c r="L11" s="87">
        <v>32</v>
      </c>
      <c r="M11" s="81">
        <f>SUM(K11+L11)</f>
        <v>62</v>
      </c>
      <c r="N11" s="266">
        <f>ROUND(AVERAGE(5-4*(M11)/(M9)),1)</f>
        <v>2.5</v>
      </c>
      <c r="O11" s="108">
        <f>N11*0.15</f>
        <v>0.375</v>
      </c>
      <c r="P11" s="306" t="e">
        <f>ROUND(5-4*#REF!/10,1)</f>
        <v>#REF!</v>
      </c>
      <c r="Q11" s="307"/>
      <c r="R11" s="83">
        <v>30</v>
      </c>
      <c r="S11" s="83">
        <v>28</v>
      </c>
      <c r="T11" s="93">
        <f>SUM(R11+S11)</f>
        <v>58</v>
      </c>
      <c r="U11" s="106">
        <f>ROUND(AVERAGE(5-4*(T11)/(T9)),1)</f>
        <v>2.7</v>
      </c>
      <c r="V11" s="108">
        <f>U11*0.15</f>
        <v>0.40500000000000003</v>
      </c>
      <c r="W11" s="83">
        <v>88</v>
      </c>
      <c r="X11" s="83">
        <v>82</v>
      </c>
      <c r="Y11" s="96">
        <f>SUM(W11+X11)</f>
        <v>170</v>
      </c>
      <c r="Z11" s="106">
        <f>ROUND(AVERAGE(5-4*(Y11)/(Y9)),1)</f>
        <v>1.6</v>
      </c>
      <c r="AA11" s="108">
        <f>Z11*0.15</f>
        <v>0.24</v>
      </c>
      <c r="AB11" s="98">
        <v>22.5</v>
      </c>
      <c r="AC11" s="106">
        <f>5-(4*AB11/27)</f>
        <v>1.6666666666666665</v>
      </c>
      <c r="AD11" s="108">
        <f>AC11*0.1</f>
        <v>0.16666666666666666</v>
      </c>
      <c r="AE11" s="83">
        <v>25</v>
      </c>
      <c r="AF11" s="107">
        <f>ROUND(AVERAGE(5-4*(AE11)/(70)),1)</f>
        <v>3.6</v>
      </c>
      <c r="AG11" s="108">
        <f>AF11*0.3</f>
        <v>1.08</v>
      </c>
      <c r="AH11" s="96">
        <v>18</v>
      </c>
      <c r="AI11" s="96">
        <v>30</v>
      </c>
      <c r="AJ11" s="96">
        <f>SUM(AH11+AI11)</f>
        <v>48</v>
      </c>
      <c r="AK11" s="106">
        <f>ROUND(AVERAGE(5-4*(AJ11)/(AJ9)),1)</f>
        <v>3.1</v>
      </c>
      <c r="AL11" s="108">
        <v>0.47</v>
      </c>
      <c r="AM11" s="96">
        <v>30</v>
      </c>
      <c r="AN11" s="96">
        <v>35</v>
      </c>
      <c r="AO11" s="96">
        <f>SUM(AN11+AM11)</f>
        <v>65</v>
      </c>
      <c r="AP11" s="106">
        <f>ROUND(AVERAGE(5-4*(AO11)/(AO9)),1)</f>
        <v>2.4</v>
      </c>
      <c r="AQ11" s="149">
        <f>AP11*0.15</f>
        <v>0.36</v>
      </c>
      <c r="AR11" s="93">
        <v>30</v>
      </c>
      <c r="AS11" s="96">
        <v>34</v>
      </c>
      <c r="AT11" s="96">
        <f>SUM(AR11+AS11)</f>
        <v>64</v>
      </c>
      <c r="AU11" s="148">
        <f>ROUND(AVERAGE(5-4*(AT11)/(AT9)),1)</f>
        <v>2.4</v>
      </c>
      <c r="AV11" s="149">
        <f>AU11*0.15</f>
        <v>0.36</v>
      </c>
      <c r="AW11" s="93">
        <v>80</v>
      </c>
      <c r="AX11" s="93">
        <v>82</v>
      </c>
      <c r="AY11" s="93">
        <v>89</v>
      </c>
      <c r="AZ11" s="93">
        <f>SUM(AX11+AW11+AY11)</f>
        <v>251</v>
      </c>
      <c r="BA11" s="148">
        <f>ROUND(AVERAGE(5-4*(AZ11)/(AZ9)),1)</f>
        <v>1.7</v>
      </c>
      <c r="BB11" s="149">
        <f>BA11*0.15</f>
        <v>0.255</v>
      </c>
      <c r="BC11" s="81">
        <v>25.5</v>
      </c>
      <c r="BD11" s="148">
        <f>5-(4*BC12/BC9)</f>
        <v>1.2222222222222223</v>
      </c>
      <c r="BE11" s="149">
        <f>BD10*0.1</f>
        <v>0</v>
      </c>
      <c r="BF11" s="81">
        <v>36</v>
      </c>
      <c r="BG11" s="157">
        <f>ROUND(AVERAGE(5-4*(BF11)/(BF9)),1)</f>
        <v>2.9</v>
      </c>
      <c r="BH11" s="149">
        <f>BG11*0.3</f>
        <v>0.87</v>
      </c>
      <c r="BI11" s="165">
        <f>H11+O11+V11+AA11+AD11+AG11</f>
        <v>2.8066666666666666</v>
      </c>
      <c r="BJ11" s="165">
        <v>2.4</v>
      </c>
      <c r="BK11" s="165">
        <f t="shared" ref="BK11" si="0">(BI11*1/2)+(BJ11*1/2)</f>
        <v>2.6033333333333335</v>
      </c>
      <c r="BL11" s="81" t="s">
        <v>91</v>
      </c>
    </row>
    <row r="12" spans="1:64" ht="13.8" customHeight="1" x14ac:dyDescent="0.3">
      <c r="A12" s="361">
        <v>2</v>
      </c>
      <c r="B12" s="273" t="s">
        <v>319</v>
      </c>
      <c r="C12" s="237" t="s">
        <v>320</v>
      </c>
      <c r="D12" s="365">
        <v>32</v>
      </c>
      <c r="E12" s="365">
        <v>26</v>
      </c>
      <c r="F12" s="368">
        <v>32</v>
      </c>
      <c r="G12" s="266">
        <f>ROUND(AVERAGE(5-4*(F12)/(F9)),1)</f>
        <v>3.7</v>
      </c>
      <c r="H12" s="108">
        <f>G12*0.15</f>
        <v>0.55500000000000005</v>
      </c>
      <c r="I12" s="366"/>
      <c r="J12" s="366"/>
      <c r="K12" s="367">
        <v>34</v>
      </c>
      <c r="L12" s="367">
        <v>20</v>
      </c>
      <c r="M12" s="367">
        <f>SUM(K12+L12)</f>
        <v>54</v>
      </c>
      <c r="N12" s="266">
        <f>ROUND(AVERAGE(5-4*(M12)/(M9)),1)</f>
        <v>2.8</v>
      </c>
      <c r="O12" s="108">
        <f>N12*0.15</f>
        <v>0.42</v>
      </c>
      <c r="P12" s="21"/>
      <c r="Q12" s="22"/>
      <c r="R12" s="367">
        <v>28</v>
      </c>
      <c r="S12" s="96">
        <v>25</v>
      </c>
      <c r="T12" s="367">
        <f>SUM(R12+S12)</f>
        <v>53</v>
      </c>
      <c r="U12" s="106">
        <f>ROUND(AVERAGE(5-4*(T12)/(T9)),1)</f>
        <v>2.9</v>
      </c>
      <c r="V12" s="108">
        <f>U12*0.15</f>
        <v>0.435</v>
      </c>
      <c r="W12" s="371">
        <v>85</v>
      </c>
      <c r="X12" s="367">
        <v>80</v>
      </c>
      <c r="Y12" s="367">
        <f>SUM(W12+X12)</f>
        <v>165</v>
      </c>
      <c r="Z12" s="106">
        <f>ROUND(AVERAGE(5-4*(Y12)/(Y9)),1)</f>
        <v>1.7</v>
      </c>
      <c r="AA12" s="108">
        <f>Z12*0.15</f>
        <v>0.255</v>
      </c>
      <c r="AB12" s="386">
        <v>24</v>
      </c>
      <c r="AC12" s="106">
        <f>5-(4*AB12/27)</f>
        <v>1.4444444444444446</v>
      </c>
      <c r="AD12" s="108">
        <f>AC12*0.1</f>
        <v>0.14444444444444446</v>
      </c>
      <c r="AE12" s="367">
        <v>25</v>
      </c>
      <c r="AF12" s="107">
        <f>ROUND(AVERAGE(5-4*(AE12)/(70)),1)</f>
        <v>3.6</v>
      </c>
      <c r="AG12" s="108">
        <f>AF12*0.3</f>
        <v>1.08</v>
      </c>
      <c r="AH12" s="367">
        <v>9</v>
      </c>
      <c r="AI12" s="367">
        <v>34</v>
      </c>
      <c r="AJ12" s="96">
        <f>SUM(AH12+AI12)</f>
        <v>43</v>
      </c>
      <c r="AK12" s="106">
        <f>ROUND(AVERAGE(5-4*(AJ12)/(AJ9)),1)</f>
        <v>3.3</v>
      </c>
      <c r="AL12" s="108">
        <f>AK11*0.15</f>
        <v>0.46499999999999997</v>
      </c>
      <c r="AM12" s="367">
        <v>45</v>
      </c>
      <c r="AN12" s="367">
        <v>40</v>
      </c>
      <c r="AO12" s="96">
        <f>SUM(AN12+AM12)</f>
        <v>85</v>
      </c>
      <c r="AP12" s="106">
        <f>ROUND(AVERAGE(5-4*(AO12)/(AO9)),1)</f>
        <v>1.6</v>
      </c>
      <c r="AQ12" s="149">
        <f>AP12*0.15</f>
        <v>0.24</v>
      </c>
      <c r="AR12" s="525">
        <v>38</v>
      </c>
      <c r="AS12" s="367">
        <v>39</v>
      </c>
      <c r="AT12" s="96">
        <f>SUM(AR12+AS12)</f>
        <v>77</v>
      </c>
      <c r="AU12" s="148">
        <f>ROUND(AVERAGE(5-4*(AT12)/(AT9)),1)</f>
        <v>1.9</v>
      </c>
      <c r="AV12" s="149">
        <f>AU12*0.15</f>
        <v>0.28499999999999998</v>
      </c>
      <c r="AW12" s="81">
        <v>90</v>
      </c>
      <c r="AX12" s="81">
        <v>90</v>
      </c>
      <c r="AY12" s="81">
        <v>90</v>
      </c>
      <c r="AZ12" s="93">
        <f>SUM(AX12+AW12+AY12)</f>
        <v>270</v>
      </c>
      <c r="BA12" s="148">
        <f>ROUND(AVERAGE(5-4*(AZ12)/(AZ9)),1)</f>
        <v>1.4</v>
      </c>
      <c r="BB12" s="149">
        <f>BA12*0.15</f>
        <v>0.21</v>
      </c>
      <c r="BC12" s="165">
        <v>25.5</v>
      </c>
      <c r="BD12" s="148">
        <f>5-(4*BC12/BC9)</f>
        <v>1.2222222222222223</v>
      </c>
      <c r="BE12" s="149">
        <f>BD10*0.1</f>
        <v>0</v>
      </c>
      <c r="BF12" s="81">
        <v>41</v>
      </c>
      <c r="BG12" s="157">
        <f>ROUND(AVERAGE(5-4*(BF12)/(BF9)),1)</f>
        <v>2.7</v>
      </c>
      <c r="BH12" s="149">
        <f>BG12*0.3</f>
        <v>0.81</v>
      </c>
      <c r="BI12" s="165">
        <f>H12+O12+V12+AA12+AD12+AG12</f>
        <v>2.8894444444444445</v>
      </c>
      <c r="BJ12" s="165">
        <v>1.8</v>
      </c>
      <c r="BK12" s="165">
        <v>2.2999999999999998</v>
      </c>
      <c r="BL12" s="81" t="s">
        <v>91</v>
      </c>
    </row>
    <row r="13" spans="1:64" ht="15" customHeight="1" x14ac:dyDescent="0.3">
      <c r="A13" s="272">
        <v>3</v>
      </c>
      <c r="B13" s="273" t="s">
        <v>321</v>
      </c>
      <c r="C13" s="237" t="s">
        <v>322</v>
      </c>
      <c r="D13" s="86">
        <v>12</v>
      </c>
      <c r="E13" s="83">
        <v>13</v>
      </c>
      <c r="F13" s="93">
        <f t="shared" ref="F13:F65" si="1">SUM(D13+E13)</f>
        <v>25</v>
      </c>
      <c r="G13" s="266">
        <f>ROUND(AVERAGE(5-4*(F13)/(F9)),1)</f>
        <v>4</v>
      </c>
      <c r="H13" s="108">
        <f t="shared" ref="H13:H26" si="2">G13*0.15</f>
        <v>0.6</v>
      </c>
      <c r="I13" s="78">
        <v>30</v>
      </c>
      <c r="J13" s="305">
        <f t="shared" ref="J13:J27" si="3">ROUND(5-4*I13/30,1)</f>
        <v>1</v>
      </c>
      <c r="K13" s="78">
        <v>35</v>
      </c>
      <c r="L13" s="78">
        <v>28</v>
      </c>
      <c r="M13" s="81">
        <f t="shared" ref="M13:M68" si="4">SUM(K13+L13)</f>
        <v>63</v>
      </c>
      <c r="N13" s="266">
        <f>ROUND(AVERAGE(5-4*(M13)/(M9)),1)</f>
        <v>2.5</v>
      </c>
      <c r="O13" s="108">
        <f t="shared" ref="O13:O68" si="5">N13*0.15</f>
        <v>0.375</v>
      </c>
      <c r="P13" s="306" t="e">
        <f>ROUND(5-4*#REF!/10,1)</f>
        <v>#REF!</v>
      </c>
      <c r="Q13" s="307"/>
      <c r="R13" s="86">
        <v>28</v>
      </c>
      <c r="S13" s="86">
        <v>30</v>
      </c>
      <c r="T13" s="93">
        <f t="shared" ref="T13:T68" si="6">SUM(R13+S13)</f>
        <v>58</v>
      </c>
      <c r="U13" s="106">
        <f>ROUND(AVERAGE(5-4*(T13)/(T9)),1)</f>
        <v>2.7</v>
      </c>
      <c r="V13" s="108">
        <f t="shared" ref="V13:V68" si="7">U13*0.15</f>
        <v>0.40500000000000003</v>
      </c>
      <c r="W13" s="83">
        <v>85</v>
      </c>
      <c r="X13" s="95">
        <v>32</v>
      </c>
      <c r="Y13" s="96">
        <f t="shared" ref="Y13:Y68" si="8">SUM(W13+X13)</f>
        <v>117</v>
      </c>
      <c r="Z13" s="106">
        <f>ROUND(AVERAGE(5-4*(Y13)/(Y9)),1)</f>
        <v>2.7</v>
      </c>
      <c r="AA13" s="108">
        <f t="shared" ref="AA13:AA68" si="9">Z13*0.15</f>
        <v>0.40500000000000003</v>
      </c>
      <c r="AB13" s="98">
        <v>27</v>
      </c>
      <c r="AC13" s="106">
        <f t="shared" ref="AC13:AC68" si="10">5-(4*AB13/27)</f>
        <v>1</v>
      </c>
      <c r="AD13" s="108">
        <f t="shared" ref="AD13:AD68" si="11">AC13*0.1</f>
        <v>0.1</v>
      </c>
      <c r="AE13" s="83">
        <v>22</v>
      </c>
      <c r="AF13" s="107">
        <f t="shared" ref="AF13:AF68" si="12">ROUND(AVERAGE(5-4*(AE13)/(70)),1)</f>
        <v>3.7</v>
      </c>
      <c r="AG13" s="108">
        <f t="shared" ref="AG13:AG68" si="13">AF13*0.3</f>
        <v>1.1100000000000001</v>
      </c>
      <c r="AH13" s="96">
        <v>20</v>
      </c>
      <c r="AI13" s="93">
        <v>6</v>
      </c>
      <c r="AJ13" s="96">
        <f t="shared" ref="AJ13:AJ68" si="14">SUM(AH13+AI13)</f>
        <v>26</v>
      </c>
      <c r="AK13" s="106">
        <f>ROUND(AVERAGE(5-4*(AJ13)/(AJ9)),1)</f>
        <v>4</v>
      </c>
      <c r="AL13" s="108">
        <f t="shared" ref="AL13:AL68" si="15">AK13*0.15</f>
        <v>0.6</v>
      </c>
      <c r="AM13" s="93">
        <v>35</v>
      </c>
      <c r="AN13" s="153">
        <v>37</v>
      </c>
      <c r="AO13" s="96">
        <f t="shared" ref="AO13:AO68" si="16">SUM(AN13+AM13)</f>
        <v>72</v>
      </c>
      <c r="AP13" s="106">
        <f>ROUND(AVERAGE(5-4*(AO13)/(AO9)),1)</f>
        <v>2.1</v>
      </c>
      <c r="AQ13" s="158">
        <f t="shared" ref="AQ13:AQ68" si="17">AP13*0.15</f>
        <v>0.315</v>
      </c>
      <c r="AR13" s="93">
        <v>40</v>
      </c>
      <c r="AS13" s="93">
        <v>32</v>
      </c>
      <c r="AT13" s="96">
        <f t="shared" ref="AT13:AT68" si="18">SUM(AR13+AS13)</f>
        <v>72</v>
      </c>
      <c r="AU13" s="148">
        <f>ROUND(AVERAGE(5-4*(AT13)/(AT9)),1)</f>
        <v>2.1</v>
      </c>
      <c r="AV13" s="149">
        <f t="shared" ref="AV13:AV68" si="19">AU13*0.15</f>
        <v>0.315</v>
      </c>
      <c r="AW13" s="93">
        <v>80</v>
      </c>
      <c r="AX13" s="93">
        <v>80</v>
      </c>
      <c r="AY13" s="93">
        <v>87</v>
      </c>
      <c r="AZ13" s="93">
        <f t="shared" ref="AZ13:AZ21" si="20">SUM(AX13+AW13+AY13)</f>
        <v>247</v>
      </c>
      <c r="BA13" s="148">
        <f>ROUND(AVERAGE(5-4*(AZ13)/(AZ9)),1)</f>
        <v>1.7</v>
      </c>
      <c r="BB13" s="149">
        <f t="shared" ref="BB13:BB68" si="21">BA13*0.15</f>
        <v>0.255</v>
      </c>
      <c r="BC13" s="165">
        <v>27</v>
      </c>
      <c r="BD13" s="148">
        <f>5-(4*BC13/BC9)</f>
        <v>1</v>
      </c>
      <c r="BE13" s="149">
        <f t="shared" ref="BE13:BE68" si="22">BD13*0.1</f>
        <v>0.1</v>
      </c>
      <c r="BF13" s="81">
        <v>36</v>
      </c>
      <c r="BG13" s="157">
        <f>ROUND(AVERAGE(5-4*(BF13)/(BF9)),1)</f>
        <v>2.9</v>
      </c>
      <c r="BH13" s="149">
        <f t="shared" ref="BH13:BH68" si="23">BG13*0.3</f>
        <v>0.87</v>
      </c>
      <c r="BI13" s="165">
        <f t="shared" ref="BI13:BI68" si="24">H13+O13+V13+AA13+AD13+AG13</f>
        <v>2.9950000000000001</v>
      </c>
      <c r="BJ13" s="165">
        <f t="shared" ref="BJ13:BJ54" si="25">AL13+AQ13+AV13+BB13+BE13+BH13</f>
        <v>2.4550000000000001</v>
      </c>
      <c r="BK13" s="165">
        <f t="shared" ref="BK13:BK37" si="26">(BI13*1/2)+(BJ13*1/2)</f>
        <v>2.7250000000000001</v>
      </c>
      <c r="BL13" s="81" t="s">
        <v>91</v>
      </c>
    </row>
    <row r="14" spans="1:64" ht="12.75" customHeight="1" x14ac:dyDescent="0.3">
      <c r="A14" s="272">
        <v>4</v>
      </c>
      <c r="B14" s="273" t="s">
        <v>323</v>
      </c>
      <c r="C14" s="237" t="s">
        <v>324</v>
      </c>
      <c r="D14" s="86">
        <v>29</v>
      </c>
      <c r="E14" s="83">
        <v>20</v>
      </c>
      <c r="F14" s="93">
        <f t="shared" si="1"/>
        <v>49</v>
      </c>
      <c r="G14" s="266">
        <f>ROUND(AVERAGE(5-4*(F14)/(F9)),1)</f>
        <v>3</v>
      </c>
      <c r="H14" s="108">
        <f t="shared" si="2"/>
        <v>0.44999999999999996</v>
      </c>
      <c r="I14" s="78">
        <v>26</v>
      </c>
      <c r="J14" s="305">
        <f t="shared" si="3"/>
        <v>1.5</v>
      </c>
      <c r="K14" s="78">
        <v>38</v>
      </c>
      <c r="L14" s="78">
        <v>30</v>
      </c>
      <c r="M14" s="81">
        <f t="shared" si="4"/>
        <v>68</v>
      </c>
      <c r="N14" s="266">
        <f>ROUND(AVERAGE(5-4*(M14)/(M9)),1)</f>
        <v>2.2999999999999998</v>
      </c>
      <c r="O14" s="108">
        <f t="shared" si="5"/>
        <v>0.34499999999999997</v>
      </c>
      <c r="P14" s="308"/>
      <c r="Q14" s="308"/>
      <c r="R14" s="86">
        <v>32</v>
      </c>
      <c r="S14" s="86">
        <v>28</v>
      </c>
      <c r="T14" s="93">
        <f t="shared" si="6"/>
        <v>60</v>
      </c>
      <c r="U14" s="106">
        <f>ROUND(AVERAGE(5-4*(T14)/(T9)),1)</f>
        <v>2.6</v>
      </c>
      <c r="V14" s="108">
        <f t="shared" si="7"/>
        <v>0.39</v>
      </c>
      <c r="W14" s="83">
        <v>70</v>
      </c>
      <c r="X14" s="95">
        <v>75</v>
      </c>
      <c r="Y14" s="96">
        <f t="shared" si="8"/>
        <v>145</v>
      </c>
      <c r="Z14" s="106">
        <f>ROUND(AVERAGE(5-4*(Y14)/(Y9)),1)</f>
        <v>2.1</v>
      </c>
      <c r="AA14" s="108">
        <f t="shared" si="9"/>
        <v>0.315</v>
      </c>
      <c r="AB14" s="98">
        <v>27</v>
      </c>
      <c r="AC14" s="106">
        <f t="shared" si="10"/>
        <v>1</v>
      </c>
      <c r="AD14" s="108">
        <f t="shared" si="11"/>
        <v>0.1</v>
      </c>
      <c r="AE14" s="83">
        <v>21</v>
      </c>
      <c r="AF14" s="107">
        <f t="shared" si="12"/>
        <v>3.8</v>
      </c>
      <c r="AG14" s="108">
        <f t="shared" si="13"/>
        <v>1.1399999999999999</v>
      </c>
      <c r="AH14" s="96">
        <v>10</v>
      </c>
      <c r="AI14" s="93">
        <v>5</v>
      </c>
      <c r="AJ14" s="96">
        <f t="shared" si="14"/>
        <v>15</v>
      </c>
      <c r="AK14" s="106">
        <f>ROUND(AVERAGE(5-4*(AJ14)/(AJ9)),1)</f>
        <v>4.4000000000000004</v>
      </c>
      <c r="AL14" s="108">
        <f t="shared" si="15"/>
        <v>0.66</v>
      </c>
      <c r="AM14" s="93">
        <v>24</v>
      </c>
      <c r="AN14" s="93">
        <v>25</v>
      </c>
      <c r="AO14" s="96">
        <f t="shared" si="16"/>
        <v>49</v>
      </c>
      <c r="AP14" s="106">
        <f>ROUND(AVERAGE(5-4*(AO14)/(AO9)),1)</f>
        <v>3</v>
      </c>
      <c r="AQ14" s="158">
        <f t="shared" si="17"/>
        <v>0.44999999999999996</v>
      </c>
      <c r="AR14" s="93">
        <v>25</v>
      </c>
      <c r="AS14" s="93">
        <v>25</v>
      </c>
      <c r="AT14" s="96">
        <f t="shared" si="18"/>
        <v>50</v>
      </c>
      <c r="AU14" s="148">
        <f>ROUND(AVERAGE(5-4*(AT14)/(AT9)),1)</f>
        <v>3</v>
      </c>
      <c r="AV14" s="149">
        <f t="shared" si="19"/>
        <v>0.44999999999999996</v>
      </c>
      <c r="AW14" s="93">
        <v>75</v>
      </c>
      <c r="AX14" s="93">
        <v>70</v>
      </c>
      <c r="AY14" s="93">
        <v>80</v>
      </c>
      <c r="AZ14" s="93">
        <f t="shared" si="20"/>
        <v>225</v>
      </c>
      <c r="BA14" s="148">
        <f>ROUND(AVERAGE(5-4*(AZ14)/(AZ9)),1)</f>
        <v>2</v>
      </c>
      <c r="BB14" s="149">
        <f t="shared" si="21"/>
        <v>0.3</v>
      </c>
      <c r="BC14" s="81">
        <v>19.5</v>
      </c>
      <c r="BD14" s="148">
        <f>5-(4*BC14/BC9)</f>
        <v>2.1111111111111112</v>
      </c>
      <c r="BE14" s="149">
        <f t="shared" si="22"/>
        <v>0.21111111111111114</v>
      </c>
      <c r="BF14" s="81">
        <v>39</v>
      </c>
      <c r="BG14" s="157">
        <f>ROUND(AVERAGE(5-4*(BF14)/(BF9)),1)</f>
        <v>2.8</v>
      </c>
      <c r="BH14" s="149">
        <f t="shared" si="23"/>
        <v>0.84</v>
      </c>
      <c r="BI14" s="165">
        <f t="shared" si="24"/>
        <v>2.74</v>
      </c>
      <c r="BJ14" s="526">
        <f t="shared" si="25"/>
        <v>2.911111111111111</v>
      </c>
      <c r="BK14" s="165">
        <f t="shared" si="26"/>
        <v>2.8255555555555558</v>
      </c>
      <c r="BL14" s="81" t="s">
        <v>91</v>
      </c>
    </row>
    <row r="15" spans="1:64" ht="14.25" customHeight="1" x14ac:dyDescent="0.3">
      <c r="A15" s="272">
        <v>5</v>
      </c>
      <c r="B15" s="273" t="s">
        <v>325</v>
      </c>
      <c r="C15" s="237" t="s">
        <v>326</v>
      </c>
      <c r="D15" s="86">
        <v>27</v>
      </c>
      <c r="E15" s="86">
        <v>22</v>
      </c>
      <c r="F15" s="93">
        <f t="shared" si="1"/>
        <v>49</v>
      </c>
      <c r="G15" s="266">
        <f>ROUND(AVERAGE(5-4*(F15)/(F9)),1)</f>
        <v>3</v>
      </c>
      <c r="H15" s="108">
        <f t="shared" si="2"/>
        <v>0.44999999999999996</v>
      </c>
      <c r="I15" s="78">
        <v>25</v>
      </c>
      <c r="J15" s="305">
        <f t="shared" si="3"/>
        <v>1.7</v>
      </c>
      <c r="K15" s="78">
        <v>50</v>
      </c>
      <c r="L15" s="78">
        <v>28</v>
      </c>
      <c r="M15" s="81">
        <f t="shared" si="4"/>
        <v>78</v>
      </c>
      <c r="N15" s="266">
        <f>ROUND(AVERAGE(5-4*(M15)/(M9)),1)</f>
        <v>1.9</v>
      </c>
      <c r="O15" s="108">
        <f t="shared" si="5"/>
        <v>0.28499999999999998</v>
      </c>
      <c r="P15" s="306" t="e">
        <f>ROUND(5-4*#REF!/10,1)</f>
        <v>#REF!</v>
      </c>
      <c r="Q15" s="307"/>
      <c r="R15" s="86">
        <v>33</v>
      </c>
      <c r="S15" s="86">
        <v>30</v>
      </c>
      <c r="T15" s="93">
        <f t="shared" si="6"/>
        <v>63</v>
      </c>
      <c r="U15" s="106">
        <f>ROUND(AVERAGE(5-4*(T15)/(T9)),1)</f>
        <v>2.5</v>
      </c>
      <c r="V15" s="108">
        <f t="shared" si="7"/>
        <v>0.375</v>
      </c>
      <c r="W15" s="86">
        <v>75</v>
      </c>
      <c r="X15" s="95">
        <v>80</v>
      </c>
      <c r="Y15" s="96">
        <f t="shared" si="8"/>
        <v>155</v>
      </c>
      <c r="Z15" s="106">
        <f>ROUND(AVERAGE(5-4*(Y15)/(Y9)),1)</f>
        <v>1.9</v>
      </c>
      <c r="AA15" s="108">
        <f t="shared" si="9"/>
        <v>0.28499999999999998</v>
      </c>
      <c r="AB15" s="98">
        <v>24</v>
      </c>
      <c r="AC15" s="106">
        <f t="shared" si="10"/>
        <v>1.4444444444444446</v>
      </c>
      <c r="AD15" s="108">
        <f t="shared" si="11"/>
        <v>0.14444444444444446</v>
      </c>
      <c r="AE15" s="75">
        <v>16</v>
      </c>
      <c r="AF15" s="107">
        <f t="shared" si="12"/>
        <v>4.0999999999999996</v>
      </c>
      <c r="AG15" s="108">
        <f t="shared" si="13"/>
        <v>1.2299999999999998</v>
      </c>
      <c r="AH15" s="96">
        <v>21</v>
      </c>
      <c r="AI15" s="93">
        <v>24</v>
      </c>
      <c r="AJ15" s="96">
        <f t="shared" si="14"/>
        <v>45</v>
      </c>
      <c r="AK15" s="106">
        <f>ROUND(AVERAGE(5-4*(AJ15)/(AJ9)),1)</f>
        <v>3.2</v>
      </c>
      <c r="AL15" s="108">
        <f t="shared" si="15"/>
        <v>0.48</v>
      </c>
      <c r="AM15" s="93">
        <v>35</v>
      </c>
      <c r="AN15" s="93">
        <v>40</v>
      </c>
      <c r="AO15" s="96">
        <f t="shared" si="16"/>
        <v>75</v>
      </c>
      <c r="AP15" s="106">
        <f>ROUND(AVERAGE(5-4*(AO15)/(AO9)),1)</f>
        <v>2</v>
      </c>
      <c r="AQ15" s="158">
        <f t="shared" si="17"/>
        <v>0.3</v>
      </c>
      <c r="AR15" s="93">
        <v>30</v>
      </c>
      <c r="AS15" s="93">
        <v>40</v>
      </c>
      <c r="AT15" s="96">
        <f t="shared" si="18"/>
        <v>70</v>
      </c>
      <c r="AU15" s="148">
        <f>ROUND(AVERAGE(5-4*(AT15)/(AT9)),1)</f>
        <v>2.2000000000000002</v>
      </c>
      <c r="AV15" s="149">
        <f t="shared" si="19"/>
        <v>0.33</v>
      </c>
      <c r="AW15" s="93">
        <v>80</v>
      </c>
      <c r="AX15" s="93">
        <v>85</v>
      </c>
      <c r="AY15" s="93">
        <v>95</v>
      </c>
      <c r="AZ15" s="93">
        <f t="shared" si="20"/>
        <v>260</v>
      </c>
      <c r="BA15" s="148">
        <f>ROUND(AVERAGE(5-4*(AZ15)/(AZ9)),1)</f>
        <v>1.5</v>
      </c>
      <c r="BB15" s="149">
        <f t="shared" si="21"/>
        <v>0.22499999999999998</v>
      </c>
      <c r="BC15" s="165">
        <v>27</v>
      </c>
      <c r="BD15" s="148">
        <f>5-(4*BC15/BC9)</f>
        <v>1</v>
      </c>
      <c r="BE15" s="149">
        <f>BD15*0.1</f>
        <v>0.1</v>
      </c>
      <c r="BF15" s="81">
        <v>35</v>
      </c>
      <c r="BG15" s="157">
        <f>ROUND(AVERAGE(5-4*(BF15)/(BF9)),1)</f>
        <v>3</v>
      </c>
      <c r="BH15" s="149">
        <f t="shared" si="23"/>
        <v>0.89999999999999991</v>
      </c>
      <c r="BI15" s="165">
        <f t="shared" si="24"/>
        <v>2.7694444444444439</v>
      </c>
      <c r="BJ15" s="165">
        <f>AL15+AQ15+AV15+BB15+BE15+BH15</f>
        <v>2.335</v>
      </c>
      <c r="BK15" s="165">
        <v>2.5</v>
      </c>
      <c r="BL15" s="81" t="s">
        <v>91</v>
      </c>
    </row>
    <row r="16" spans="1:64" ht="14.25" customHeight="1" x14ac:dyDescent="0.3">
      <c r="A16" s="272">
        <v>6</v>
      </c>
      <c r="B16" s="273" t="s">
        <v>475</v>
      </c>
      <c r="C16" s="237" t="s">
        <v>476</v>
      </c>
      <c r="D16" s="86">
        <v>10</v>
      </c>
      <c r="E16" s="86">
        <v>34</v>
      </c>
      <c r="F16" s="93">
        <f t="shared" si="1"/>
        <v>44</v>
      </c>
      <c r="G16" s="266">
        <f>ROUND(AVERAGE(5-4*(F16)/(F9)),1)</f>
        <v>3.2</v>
      </c>
      <c r="H16" s="108">
        <f t="shared" si="2"/>
        <v>0.48</v>
      </c>
      <c r="I16" s="78"/>
      <c r="J16" s="305"/>
      <c r="K16" s="78">
        <v>32</v>
      </c>
      <c r="L16" s="78">
        <v>33</v>
      </c>
      <c r="M16" s="81">
        <f t="shared" si="4"/>
        <v>65</v>
      </c>
      <c r="N16" s="266">
        <f>ROUND(AVERAGE(5-4*(M16)/(M9)),1)</f>
        <v>2.4</v>
      </c>
      <c r="O16" s="108">
        <f t="shared" si="5"/>
        <v>0.36</v>
      </c>
      <c r="P16" s="306"/>
      <c r="Q16" s="307"/>
      <c r="R16" s="86">
        <v>30</v>
      </c>
      <c r="S16" s="86">
        <v>30</v>
      </c>
      <c r="T16" s="93">
        <f t="shared" si="6"/>
        <v>60</v>
      </c>
      <c r="U16" s="106">
        <f>ROUND(AVERAGE(5-4*(T16)/(T9)),1)</f>
        <v>2.6</v>
      </c>
      <c r="V16" s="108">
        <f t="shared" si="7"/>
        <v>0.39</v>
      </c>
      <c r="W16" s="86">
        <v>80</v>
      </c>
      <c r="X16" s="95">
        <v>82</v>
      </c>
      <c r="Y16" s="96">
        <f t="shared" si="8"/>
        <v>162</v>
      </c>
      <c r="Z16" s="106">
        <f>ROUND(AVERAGE(5-4*(Y16)/(Y9)),1)</f>
        <v>1.8</v>
      </c>
      <c r="AA16" s="108">
        <f t="shared" si="9"/>
        <v>0.27</v>
      </c>
      <c r="AB16" s="98">
        <v>22.5</v>
      </c>
      <c r="AC16" s="106">
        <f t="shared" si="10"/>
        <v>1.6666666666666665</v>
      </c>
      <c r="AD16" s="108">
        <f t="shared" si="11"/>
        <v>0.16666666666666666</v>
      </c>
      <c r="AE16" s="75">
        <v>28</v>
      </c>
      <c r="AF16" s="107">
        <f t="shared" si="12"/>
        <v>3.4</v>
      </c>
      <c r="AG16" s="108">
        <f t="shared" si="13"/>
        <v>1.02</v>
      </c>
      <c r="AH16" s="96">
        <v>25</v>
      </c>
      <c r="AI16" s="93">
        <v>29</v>
      </c>
      <c r="AJ16" s="96">
        <f t="shared" si="14"/>
        <v>54</v>
      </c>
      <c r="AK16" s="106">
        <f>ROUND(AVERAGE(5-4*(AJ16)/(AJ9)),1)</f>
        <v>2.8</v>
      </c>
      <c r="AL16" s="108">
        <f t="shared" si="15"/>
        <v>0.42</v>
      </c>
      <c r="AM16" s="93">
        <v>30</v>
      </c>
      <c r="AN16" s="93">
        <v>32</v>
      </c>
      <c r="AO16" s="96">
        <f t="shared" si="16"/>
        <v>62</v>
      </c>
      <c r="AP16" s="106">
        <f>ROUND(AVERAGE(5-4*(AO16)/(AO9)),1)</f>
        <v>2.5</v>
      </c>
      <c r="AQ16" s="158">
        <f t="shared" si="17"/>
        <v>0.375</v>
      </c>
      <c r="AR16" s="93">
        <v>40</v>
      </c>
      <c r="AS16" s="93">
        <v>43</v>
      </c>
      <c r="AT16" s="96">
        <f t="shared" si="18"/>
        <v>83</v>
      </c>
      <c r="AU16" s="148">
        <f>ROUND(AVERAGE(5-4*(AT16)/(AT9)),1)</f>
        <v>1.7</v>
      </c>
      <c r="AV16" s="149">
        <f t="shared" si="19"/>
        <v>0.255</v>
      </c>
      <c r="AW16" s="93">
        <v>100</v>
      </c>
      <c r="AX16" s="93">
        <v>95</v>
      </c>
      <c r="AY16" s="93">
        <v>95</v>
      </c>
      <c r="AZ16" s="93">
        <f t="shared" si="20"/>
        <v>290</v>
      </c>
      <c r="BA16" s="148">
        <f>ROUND(AVERAGE(5-4*(AZ16)/(AZ9)),1)</f>
        <v>1.1000000000000001</v>
      </c>
      <c r="BB16" s="149">
        <f t="shared" si="21"/>
        <v>0.16500000000000001</v>
      </c>
      <c r="BC16" s="165">
        <v>27</v>
      </c>
      <c r="BD16" s="148">
        <f>5-(4*BC16/BC9)</f>
        <v>1</v>
      </c>
      <c r="BE16" s="149">
        <f>BD16*0.1</f>
        <v>0.1</v>
      </c>
      <c r="BF16" s="81">
        <v>38</v>
      </c>
      <c r="BG16" s="157">
        <f>ROUND(AVERAGE(5-4*(BF16)/(BF9)),1)</f>
        <v>2.8</v>
      </c>
      <c r="BH16" s="149">
        <f t="shared" si="23"/>
        <v>0.84</v>
      </c>
      <c r="BI16" s="165">
        <f t="shared" si="24"/>
        <v>2.6866666666666665</v>
      </c>
      <c r="BJ16" s="165">
        <f>AL16+AQ16+AV16+BB16+BE16+BH16</f>
        <v>2.1549999999999998</v>
      </c>
      <c r="BK16" s="165">
        <f t="shared" si="26"/>
        <v>2.4208333333333334</v>
      </c>
      <c r="BL16" s="81" t="s">
        <v>91</v>
      </c>
    </row>
    <row r="17" spans="1:64" ht="15" customHeight="1" x14ac:dyDescent="0.3">
      <c r="A17" s="272">
        <v>7</v>
      </c>
      <c r="B17" s="273" t="s">
        <v>327</v>
      </c>
      <c r="C17" s="237" t="s">
        <v>328</v>
      </c>
      <c r="D17" s="86">
        <v>27</v>
      </c>
      <c r="E17" s="83">
        <v>33</v>
      </c>
      <c r="F17" s="93">
        <f t="shared" si="1"/>
        <v>60</v>
      </c>
      <c r="G17" s="266">
        <f>ROUND(AVERAGE(5-4*(F17)/(F9)),1)</f>
        <v>2.6</v>
      </c>
      <c r="H17" s="108">
        <f t="shared" si="2"/>
        <v>0.39</v>
      </c>
      <c r="I17" s="78">
        <v>26</v>
      </c>
      <c r="J17" s="305">
        <f t="shared" si="3"/>
        <v>1.5</v>
      </c>
      <c r="K17" s="78">
        <v>30</v>
      </c>
      <c r="L17" s="78">
        <v>25</v>
      </c>
      <c r="M17" s="81">
        <f t="shared" si="4"/>
        <v>55</v>
      </c>
      <c r="N17" s="266">
        <f>ROUND(AVERAGE(5-4*(M17)/(M9)),1)</f>
        <v>2.8</v>
      </c>
      <c r="O17" s="108">
        <f t="shared" si="5"/>
        <v>0.42</v>
      </c>
      <c r="P17" s="306" t="e">
        <f>ROUND(5-4*#REF!/10,1)</f>
        <v>#REF!</v>
      </c>
      <c r="Q17" s="307"/>
      <c r="R17" s="86">
        <v>31</v>
      </c>
      <c r="S17" s="86">
        <v>28</v>
      </c>
      <c r="T17" s="93">
        <f t="shared" si="6"/>
        <v>59</v>
      </c>
      <c r="U17" s="106">
        <f>ROUND(AVERAGE(5-4*(T17)/(T9)),1)</f>
        <v>2.6</v>
      </c>
      <c r="V17" s="108">
        <f t="shared" si="7"/>
        <v>0.39</v>
      </c>
      <c r="W17" s="83">
        <v>70</v>
      </c>
      <c r="X17" s="95">
        <v>75</v>
      </c>
      <c r="Y17" s="96">
        <f t="shared" si="8"/>
        <v>145</v>
      </c>
      <c r="Z17" s="106">
        <f>ROUND(AVERAGE(5-4*(Y17)/(Y9)),1)</f>
        <v>2.1</v>
      </c>
      <c r="AA17" s="108">
        <f t="shared" si="9"/>
        <v>0.315</v>
      </c>
      <c r="AB17" s="98">
        <v>27</v>
      </c>
      <c r="AC17" s="106">
        <f t="shared" si="10"/>
        <v>1</v>
      </c>
      <c r="AD17" s="108">
        <f t="shared" si="11"/>
        <v>0.1</v>
      </c>
      <c r="AE17" s="83">
        <v>19</v>
      </c>
      <c r="AF17" s="107">
        <f t="shared" si="12"/>
        <v>3.9</v>
      </c>
      <c r="AG17" s="108">
        <f t="shared" si="13"/>
        <v>1.17</v>
      </c>
      <c r="AH17" s="96">
        <v>11</v>
      </c>
      <c r="AI17" s="93">
        <v>29</v>
      </c>
      <c r="AJ17" s="96">
        <f t="shared" si="14"/>
        <v>40</v>
      </c>
      <c r="AK17" s="106">
        <f>ROUND(AVERAGE(5-4*(AJ17)/(AJ9)),1)</f>
        <v>3.4</v>
      </c>
      <c r="AL17" s="108">
        <f t="shared" si="15"/>
        <v>0.51</v>
      </c>
      <c r="AM17" s="93">
        <v>30</v>
      </c>
      <c r="AN17" s="93">
        <v>30</v>
      </c>
      <c r="AO17" s="96">
        <f t="shared" si="16"/>
        <v>60</v>
      </c>
      <c r="AP17" s="106">
        <f>ROUND(AVERAGE(5-4*(AO17)/(AO9)),1)</f>
        <v>2.6</v>
      </c>
      <c r="AQ17" s="158">
        <f t="shared" si="17"/>
        <v>0.39</v>
      </c>
      <c r="AR17" s="93">
        <v>30</v>
      </c>
      <c r="AS17" s="93">
        <v>35</v>
      </c>
      <c r="AT17" s="96">
        <f t="shared" si="18"/>
        <v>65</v>
      </c>
      <c r="AU17" s="148">
        <f>ROUND(AVERAGE(5-4*(AT17)/(AT9)),1)</f>
        <v>2.4</v>
      </c>
      <c r="AV17" s="149">
        <f t="shared" si="19"/>
        <v>0.36</v>
      </c>
      <c r="AW17" s="93">
        <v>82</v>
      </c>
      <c r="AX17" s="93">
        <v>84</v>
      </c>
      <c r="AY17" s="93">
        <v>88</v>
      </c>
      <c r="AZ17" s="93">
        <f t="shared" si="20"/>
        <v>254</v>
      </c>
      <c r="BA17" s="148">
        <f>ROUND(AVERAGE(5-4*(AZ17)/(AZ9)),1)</f>
        <v>1.6</v>
      </c>
      <c r="BB17" s="149">
        <f t="shared" si="21"/>
        <v>0.24</v>
      </c>
      <c r="BC17" s="165">
        <v>27</v>
      </c>
      <c r="BD17" s="148">
        <f>5-(4*BC17/BC9)</f>
        <v>1</v>
      </c>
      <c r="BE17" s="149">
        <f t="shared" si="22"/>
        <v>0.1</v>
      </c>
      <c r="BF17" s="81">
        <v>40</v>
      </c>
      <c r="BG17" s="157">
        <f>ROUND(AVERAGE(5-4*(BF17)/(BF9)),1)</f>
        <v>2.7</v>
      </c>
      <c r="BH17" s="149">
        <f t="shared" si="23"/>
        <v>0.81</v>
      </c>
      <c r="BI17" s="165">
        <f t="shared" si="24"/>
        <v>2.7850000000000001</v>
      </c>
      <c r="BJ17" s="165">
        <f t="shared" si="25"/>
        <v>2.41</v>
      </c>
      <c r="BK17" s="165">
        <f t="shared" si="26"/>
        <v>2.5975000000000001</v>
      </c>
      <c r="BL17" s="81" t="s">
        <v>91</v>
      </c>
    </row>
    <row r="18" spans="1:64" ht="15" customHeight="1" x14ac:dyDescent="0.3">
      <c r="A18" s="272">
        <v>8</v>
      </c>
      <c r="B18" s="273" t="s">
        <v>329</v>
      </c>
      <c r="C18" s="237" t="s">
        <v>330</v>
      </c>
      <c r="D18" s="86">
        <v>28</v>
      </c>
      <c r="E18" s="83">
        <v>21</v>
      </c>
      <c r="F18" s="93">
        <f t="shared" si="1"/>
        <v>49</v>
      </c>
      <c r="G18" s="266">
        <f>ROUND(AVERAGE(5-4*(F18)/(F9)),1)</f>
        <v>3</v>
      </c>
      <c r="H18" s="108">
        <f t="shared" si="2"/>
        <v>0.44999999999999996</v>
      </c>
      <c r="I18" s="78">
        <v>0</v>
      </c>
      <c r="J18" s="305">
        <f t="shared" si="3"/>
        <v>5</v>
      </c>
      <c r="K18" s="78">
        <v>33</v>
      </c>
      <c r="L18" s="78">
        <v>28</v>
      </c>
      <c r="M18" s="81">
        <f t="shared" si="4"/>
        <v>61</v>
      </c>
      <c r="N18" s="266">
        <f>ROUND(AVERAGE(5-4*(M18)/(M9)),1)</f>
        <v>2.6</v>
      </c>
      <c r="O18" s="108">
        <f t="shared" si="5"/>
        <v>0.39</v>
      </c>
      <c r="P18" s="306" t="e">
        <f>ROUND(5-4*#REF!/10,1)</f>
        <v>#REF!</v>
      </c>
      <c r="Q18" s="307"/>
      <c r="R18" s="86">
        <v>38</v>
      </c>
      <c r="S18" s="86">
        <v>28</v>
      </c>
      <c r="T18" s="93">
        <f t="shared" si="6"/>
        <v>66</v>
      </c>
      <c r="U18" s="106">
        <f>ROUND(AVERAGE(5-4*(T18)/(T9)),1)</f>
        <v>2.4</v>
      </c>
      <c r="V18" s="108">
        <f t="shared" si="7"/>
        <v>0.36</v>
      </c>
      <c r="W18" s="83">
        <v>70</v>
      </c>
      <c r="X18" s="83">
        <v>75</v>
      </c>
      <c r="Y18" s="96">
        <f t="shared" si="8"/>
        <v>145</v>
      </c>
      <c r="Z18" s="106">
        <f>ROUND(AVERAGE(5-4*(Y18)/(Y9)),1)</f>
        <v>2.1</v>
      </c>
      <c r="AA18" s="108">
        <f t="shared" si="9"/>
        <v>0.315</v>
      </c>
      <c r="AB18" s="98">
        <v>27</v>
      </c>
      <c r="AC18" s="106">
        <f t="shared" si="10"/>
        <v>1</v>
      </c>
      <c r="AD18" s="108">
        <f t="shared" si="11"/>
        <v>0.1</v>
      </c>
      <c r="AE18" s="83">
        <v>13</v>
      </c>
      <c r="AF18" s="107">
        <f t="shared" si="12"/>
        <v>4.3</v>
      </c>
      <c r="AG18" s="108">
        <f t="shared" si="13"/>
        <v>1.2899999999999998</v>
      </c>
      <c r="AH18" s="96">
        <v>25</v>
      </c>
      <c r="AI18" s="93">
        <v>18</v>
      </c>
      <c r="AJ18" s="96">
        <f t="shared" si="14"/>
        <v>43</v>
      </c>
      <c r="AK18" s="106">
        <f>ROUND(AVERAGE(5-4*(AJ18)/(AJ9)),1)</f>
        <v>3.3</v>
      </c>
      <c r="AL18" s="108">
        <f t="shared" si="15"/>
        <v>0.49499999999999994</v>
      </c>
      <c r="AM18" s="93">
        <v>30</v>
      </c>
      <c r="AN18" s="93">
        <v>30</v>
      </c>
      <c r="AO18" s="96">
        <f t="shared" si="16"/>
        <v>60</v>
      </c>
      <c r="AP18" s="106">
        <f>ROUND(AVERAGE(5-4*(AO18)/(AO9)),1)</f>
        <v>2.6</v>
      </c>
      <c r="AQ18" s="158">
        <f t="shared" si="17"/>
        <v>0.39</v>
      </c>
      <c r="AR18" s="93">
        <v>30</v>
      </c>
      <c r="AS18" s="93">
        <v>32</v>
      </c>
      <c r="AT18" s="96">
        <f t="shared" si="18"/>
        <v>62</v>
      </c>
      <c r="AU18" s="148">
        <f>ROUND(AVERAGE(5-4*(AT18)/(AT9)),1)</f>
        <v>2.5</v>
      </c>
      <c r="AV18" s="149">
        <f t="shared" si="19"/>
        <v>0.375</v>
      </c>
      <c r="AW18" s="93">
        <v>85</v>
      </c>
      <c r="AX18" s="93">
        <v>85</v>
      </c>
      <c r="AY18" s="93">
        <v>85</v>
      </c>
      <c r="AZ18" s="93">
        <f t="shared" si="20"/>
        <v>255</v>
      </c>
      <c r="BA18" s="148">
        <f>ROUND(AVERAGE(5-4*(AZ18)/(AZ9)),1)</f>
        <v>1.6</v>
      </c>
      <c r="BB18" s="149">
        <f t="shared" si="21"/>
        <v>0.24</v>
      </c>
      <c r="BC18" s="165">
        <v>27</v>
      </c>
      <c r="BD18" s="148">
        <f>5-(4*BC18/BC9)</f>
        <v>1</v>
      </c>
      <c r="BE18" s="149">
        <f t="shared" si="22"/>
        <v>0.1</v>
      </c>
      <c r="BF18" s="81">
        <v>20</v>
      </c>
      <c r="BG18" s="157">
        <f>ROUND(AVERAGE(5-4*(BF18)/(BF9)),1)</f>
        <v>3.9</v>
      </c>
      <c r="BH18" s="149">
        <f t="shared" si="23"/>
        <v>1.17</v>
      </c>
      <c r="BI18" s="165">
        <f t="shared" si="24"/>
        <v>2.9049999999999998</v>
      </c>
      <c r="BJ18" s="165">
        <f t="shared" si="25"/>
        <v>2.77</v>
      </c>
      <c r="BK18" s="165">
        <f t="shared" si="26"/>
        <v>2.8374999999999999</v>
      </c>
      <c r="BL18" s="81" t="s">
        <v>91</v>
      </c>
    </row>
    <row r="19" spans="1:64" ht="14.25" customHeight="1" x14ac:dyDescent="0.3">
      <c r="A19" s="272">
        <v>9</v>
      </c>
      <c r="B19" s="273" t="s">
        <v>331</v>
      </c>
      <c r="C19" s="237" t="s">
        <v>332</v>
      </c>
      <c r="D19" s="86">
        <v>20</v>
      </c>
      <c r="E19" s="83">
        <v>27</v>
      </c>
      <c r="F19" s="93">
        <f t="shared" si="1"/>
        <v>47</v>
      </c>
      <c r="G19" s="266">
        <f>ROUND(AVERAGE(5-4*(F19)/(F9)),1)</f>
        <v>3.1</v>
      </c>
      <c r="H19" s="108">
        <f t="shared" si="2"/>
        <v>0.46499999999999997</v>
      </c>
      <c r="I19" s="78">
        <v>26</v>
      </c>
      <c r="J19" s="305">
        <f t="shared" si="3"/>
        <v>1.5</v>
      </c>
      <c r="K19" s="78">
        <v>37</v>
      </c>
      <c r="L19" s="78">
        <v>32</v>
      </c>
      <c r="M19" s="81">
        <f t="shared" si="4"/>
        <v>69</v>
      </c>
      <c r="N19" s="266">
        <f>ROUND(AVERAGE(5-4*(M19)/(M9)),1)</f>
        <v>2.2000000000000002</v>
      </c>
      <c r="O19" s="108">
        <f t="shared" si="5"/>
        <v>0.33</v>
      </c>
      <c r="P19" s="306" t="e">
        <f>ROUND(5-4*#REF!/10,1)</f>
        <v>#REF!</v>
      </c>
      <c r="Q19" s="307"/>
      <c r="R19" s="86">
        <v>34</v>
      </c>
      <c r="S19" s="86">
        <v>33</v>
      </c>
      <c r="T19" s="93">
        <f t="shared" si="6"/>
        <v>67</v>
      </c>
      <c r="U19" s="106">
        <f>ROUND(AVERAGE(5-4*(T19)/(T9)),1)</f>
        <v>2.2999999999999998</v>
      </c>
      <c r="V19" s="108">
        <f t="shared" si="7"/>
        <v>0.34499999999999997</v>
      </c>
      <c r="W19" s="83">
        <v>75</v>
      </c>
      <c r="X19" s="95">
        <v>75</v>
      </c>
      <c r="Y19" s="96">
        <f t="shared" si="8"/>
        <v>150</v>
      </c>
      <c r="Z19" s="106">
        <f>ROUND(AVERAGE(5-4*(Y19)/(Y9)),1)</f>
        <v>2</v>
      </c>
      <c r="AA19" s="108">
        <f t="shared" si="9"/>
        <v>0.3</v>
      </c>
      <c r="AB19" s="98">
        <v>24</v>
      </c>
      <c r="AC19" s="106">
        <f t="shared" si="10"/>
        <v>1.4444444444444446</v>
      </c>
      <c r="AD19" s="108">
        <f t="shared" si="11"/>
        <v>0.14444444444444446</v>
      </c>
      <c r="AE19" s="83">
        <v>32</v>
      </c>
      <c r="AF19" s="107">
        <f t="shared" si="12"/>
        <v>3.2</v>
      </c>
      <c r="AG19" s="108">
        <f t="shared" si="13"/>
        <v>0.96</v>
      </c>
      <c r="AH19" s="96">
        <v>6</v>
      </c>
      <c r="AI19" s="93">
        <v>32</v>
      </c>
      <c r="AJ19" s="96">
        <f t="shared" si="14"/>
        <v>38</v>
      </c>
      <c r="AK19" s="106">
        <f>ROUND(AVERAGE(5-4*(AJ19)/(AJ9)),1)</f>
        <v>3.5</v>
      </c>
      <c r="AL19" s="108">
        <f t="shared" si="15"/>
        <v>0.52500000000000002</v>
      </c>
      <c r="AM19" s="93">
        <v>33</v>
      </c>
      <c r="AN19" s="93">
        <v>37</v>
      </c>
      <c r="AO19" s="96">
        <f t="shared" si="16"/>
        <v>70</v>
      </c>
      <c r="AP19" s="106">
        <f>ROUND(AVERAGE(5-4*(AO19)/(AO9)),1)</f>
        <v>2.2000000000000002</v>
      </c>
      <c r="AQ19" s="158">
        <f t="shared" si="17"/>
        <v>0.33</v>
      </c>
      <c r="AR19" s="93">
        <v>30</v>
      </c>
      <c r="AS19" s="93">
        <v>33</v>
      </c>
      <c r="AT19" s="96">
        <f t="shared" si="18"/>
        <v>63</v>
      </c>
      <c r="AU19" s="148">
        <f>ROUND(AVERAGE(5-4*(AT19)/(AT9)),1)</f>
        <v>2.5</v>
      </c>
      <c r="AV19" s="149">
        <f t="shared" si="19"/>
        <v>0.375</v>
      </c>
      <c r="AW19" s="93">
        <v>80</v>
      </c>
      <c r="AX19" s="93">
        <v>82</v>
      </c>
      <c r="AY19" s="93">
        <v>87</v>
      </c>
      <c r="AZ19" s="93">
        <f t="shared" si="20"/>
        <v>249</v>
      </c>
      <c r="BA19" s="148">
        <f>ROUND(AVERAGE(5-4*(AZ19)/(AZ9)),1)</f>
        <v>1.7</v>
      </c>
      <c r="BB19" s="149">
        <f t="shared" si="21"/>
        <v>0.255</v>
      </c>
      <c r="BC19" s="165">
        <v>27</v>
      </c>
      <c r="BD19" s="148">
        <f>5-(4*BC19/BC9)</f>
        <v>1</v>
      </c>
      <c r="BE19" s="149">
        <f t="shared" si="22"/>
        <v>0.1</v>
      </c>
      <c r="BF19" s="81">
        <v>18</v>
      </c>
      <c r="BG19" s="157">
        <f>ROUND(AVERAGE(5-4*(BF19)/(BF9)),1)</f>
        <v>4</v>
      </c>
      <c r="BH19" s="149">
        <f t="shared" si="23"/>
        <v>1.2</v>
      </c>
      <c r="BI19" s="165">
        <f t="shared" si="24"/>
        <v>2.5444444444444443</v>
      </c>
      <c r="BJ19" s="165">
        <f t="shared" si="25"/>
        <v>2.7850000000000001</v>
      </c>
      <c r="BK19" s="165">
        <v>2.6</v>
      </c>
      <c r="BL19" s="81" t="s">
        <v>91</v>
      </c>
    </row>
    <row r="20" spans="1:64" s="46" customFormat="1" ht="14.25" customHeight="1" x14ac:dyDescent="0.3">
      <c r="A20" s="272">
        <v>10</v>
      </c>
      <c r="B20" s="273" t="s">
        <v>333</v>
      </c>
      <c r="C20" s="237" t="s">
        <v>334</v>
      </c>
      <c r="D20" s="309">
        <v>28</v>
      </c>
      <c r="E20" s="81">
        <v>22</v>
      </c>
      <c r="F20" s="93">
        <f t="shared" si="1"/>
        <v>50</v>
      </c>
      <c r="G20" s="266">
        <f>ROUND(AVERAGE(5-4*(F20)/(F9)),1)</f>
        <v>3</v>
      </c>
      <c r="H20" s="108">
        <f t="shared" si="2"/>
        <v>0.44999999999999996</v>
      </c>
      <c r="I20" s="78">
        <v>0</v>
      </c>
      <c r="J20" s="305">
        <f t="shared" si="3"/>
        <v>5</v>
      </c>
      <c r="K20" s="78">
        <v>34</v>
      </c>
      <c r="L20" s="78">
        <v>30</v>
      </c>
      <c r="M20" s="81">
        <f t="shared" si="4"/>
        <v>64</v>
      </c>
      <c r="N20" s="266">
        <f>ROUND(AVERAGE(5-4*(M20)/(M9)),1)</f>
        <v>2.4</v>
      </c>
      <c r="O20" s="108">
        <f t="shared" si="5"/>
        <v>0.36</v>
      </c>
      <c r="P20" s="306" t="e">
        <f>ROUND(5-4*#REF!/10,1)</f>
        <v>#REF!</v>
      </c>
      <c r="Q20" s="307"/>
      <c r="R20" s="86">
        <v>33</v>
      </c>
      <c r="S20" s="86">
        <v>27</v>
      </c>
      <c r="T20" s="93">
        <f t="shared" si="6"/>
        <v>60</v>
      </c>
      <c r="U20" s="106">
        <f>ROUND(AVERAGE(5-4*(T20)/(T9)),1)</f>
        <v>2.6</v>
      </c>
      <c r="V20" s="108">
        <f t="shared" si="7"/>
        <v>0.39</v>
      </c>
      <c r="W20" s="83">
        <v>75</v>
      </c>
      <c r="X20" s="95">
        <v>80</v>
      </c>
      <c r="Y20" s="96">
        <f t="shared" si="8"/>
        <v>155</v>
      </c>
      <c r="Z20" s="106">
        <f>ROUND(AVERAGE(5-4*(Y20)/(Y9)),1)</f>
        <v>1.9</v>
      </c>
      <c r="AA20" s="108">
        <f t="shared" si="9"/>
        <v>0.28499999999999998</v>
      </c>
      <c r="AB20" s="98">
        <v>24</v>
      </c>
      <c r="AC20" s="106">
        <f t="shared" si="10"/>
        <v>1.4444444444444446</v>
      </c>
      <c r="AD20" s="108">
        <f t="shared" si="11"/>
        <v>0.14444444444444446</v>
      </c>
      <c r="AE20" s="83">
        <v>22</v>
      </c>
      <c r="AF20" s="107">
        <f t="shared" si="12"/>
        <v>3.7</v>
      </c>
      <c r="AG20" s="108">
        <f t="shared" si="13"/>
        <v>1.1100000000000001</v>
      </c>
      <c r="AH20" s="96">
        <v>22</v>
      </c>
      <c r="AI20" s="154">
        <v>17</v>
      </c>
      <c r="AJ20" s="96">
        <f t="shared" si="14"/>
        <v>39</v>
      </c>
      <c r="AK20" s="106">
        <f>ROUND(AVERAGE(5-4*(AJ20)/(AJ9)),1)</f>
        <v>3.4</v>
      </c>
      <c r="AL20" s="108">
        <f t="shared" si="15"/>
        <v>0.51</v>
      </c>
      <c r="AM20" s="154">
        <v>28</v>
      </c>
      <c r="AN20" s="154">
        <v>35</v>
      </c>
      <c r="AO20" s="96">
        <f t="shared" si="16"/>
        <v>63</v>
      </c>
      <c r="AP20" s="106">
        <f>ROUND(AVERAGE(5-4*(AO20)/(AO9)),1)</f>
        <v>2.5</v>
      </c>
      <c r="AQ20" s="158">
        <f t="shared" si="17"/>
        <v>0.375</v>
      </c>
      <c r="AR20" s="154">
        <v>30</v>
      </c>
      <c r="AS20" s="154">
        <v>34</v>
      </c>
      <c r="AT20" s="96">
        <f t="shared" si="18"/>
        <v>64</v>
      </c>
      <c r="AU20" s="148">
        <f>ROUND(AVERAGE(5-4*(AT20)/(AT9)),1)</f>
        <v>2.4</v>
      </c>
      <c r="AV20" s="149">
        <f t="shared" si="19"/>
        <v>0.36</v>
      </c>
      <c r="AW20" s="154">
        <v>85</v>
      </c>
      <c r="AX20" s="154">
        <v>85</v>
      </c>
      <c r="AY20" s="154">
        <v>87</v>
      </c>
      <c r="AZ20" s="93">
        <f t="shared" si="20"/>
        <v>257</v>
      </c>
      <c r="BA20" s="148">
        <f>ROUND(AVERAGE(5-4*(AZ20)/(AZ9)),1)</f>
        <v>1.6</v>
      </c>
      <c r="BB20" s="149">
        <f t="shared" si="21"/>
        <v>0.24</v>
      </c>
      <c r="BC20" s="165">
        <v>27</v>
      </c>
      <c r="BD20" s="148">
        <f>5-(4*BC20/BC9)</f>
        <v>1</v>
      </c>
      <c r="BE20" s="149">
        <f t="shared" si="22"/>
        <v>0.1</v>
      </c>
      <c r="BF20" s="142">
        <v>29</v>
      </c>
      <c r="BG20" s="157">
        <f>ROUND(AVERAGE(5-4*(BF20)/(BF9)),1)</f>
        <v>3.3</v>
      </c>
      <c r="BH20" s="149">
        <f t="shared" si="23"/>
        <v>0.98999999999999988</v>
      </c>
      <c r="BI20" s="165">
        <f t="shared" si="24"/>
        <v>2.7394444444444446</v>
      </c>
      <c r="BJ20" s="165">
        <f t="shared" si="25"/>
        <v>2.5750000000000002</v>
      </c>
      <c r="BK20" s="165">
        <v>2.6</v>
      </c>
      <c r="BL20" s="81" t="s">
        <v>91</v>
      </c>
    </row>
    <row r="21" spans="1:64" ht="15" customHeight="1" x14ac:dyDescent="0.3">
      <c r="A21" s="272">
        <v>11</v>
      </c>
      <c r="B21" s="273" t="s">
        <v>335</v>
      </c>
      <c r="C21" s="237" t="s">
        <v>336</v>
      </c>
      <c r="D21" s="202">
        <v>15</v>
      </c>
      <c r="E21" s="202">
        <v>25</v>
      </c>
      <c r="F21" s="93">
        <f t="shared" si="1"/>
        <v>40</v>
      </c>
      <c r="G21" s="267">
        <f>ROUND(AVERAGE(5-4*(F21)/(F9)),1)</f>
        <v>3.4</v>
      </c>
      <c r="H21" s="212">
        <f t="shared" si="2"/>
        <v>0.51</v>
      </c>
      <c r="I21" s="205">
        <v>28</v>
      </c>
      <c r="J21" s="310">
        <f t="shared" si="3"/>
        <v>1.3</v>
      </c>
      <c r="K21" s="205">
        <v>35</v>
      </c>
      <c r="L21" s="205">
        <v>25</v>
      </c>
      <c r="M21" s="81">
        <f t="shared" si="4"/>
        <v>60</v>
      </c>
      <c r="N21" s="267">
        <f>ROUND(AVERAGE(5-4*(M21)/(M9)),1)</f>
        <v>2.6</v>
      </c>
      <c r="O21" s="212">
        <f t="shared" si="5"/>
        <v>0.39</v>
      </c>
      <c r="P21" s="311" t="e">
        <f>ROUND(5-4*#REF!/10,1)</f>
        <v>#REF!</v>
      </c>
      <c r="Q21" s="312"/>
      <c r="R21" s="241">
        <v>28</v>
      </c>
      <c r="S21" s="241">
        <v>28</v>
      </c>
      <c r="T21" s="93">
        <f>SUM(R21+S21)</f>
        <v>56</v>
      </c>
      <c r="U21" s="209">
        <f>ROUND(AVERAGE(5-4*(T21)/(T9)),1)</f>
        <v>2.8</v>
      </c>
      <c r="V21" s="212">
        <f>U21*0.15</f>
        <v>0.42</v>
      </c>
      <c r="W21" s="241">
        <v>80</v>
      </c>
      <c r="X21" s="208">
        <v>83</v>
      </c>
      <c r="Y21" s="96">
        <f t="shared" si="8"/>
        <v>163</v>
      </c>
      <c r="Z21" s="209">
        <f>ROUND(AVERAGE(5-4*(Y21)/(Y9)),1)</f>
        <v>1.7</v>
      </c>
      <c r="AA21" s="212">
        <f t="shared" si="9"/>
        <v>0.255</v>
      </c>
      <c r="AB21" s="218">
        <v>24</v>
      </c>
      <c r="AC21" s="209">
        <f>5-(4*AB21/27)</f>
        <v>1.4444444444444446</v>
      </c>
      <c r="AD21" s="212">
        <f t="shared" si="11"/>
        <v>0.14444444444444446</v>
      </c>
      <c r="AE21" s="241">
        <v>32</v>
      </c>
      <c r="AF21" s="211">
        <f t="shared" si="12"/>
        <v>3.2</v>
      </c>
      <c r="AG21" s="212">
        <f t="shared" si="13"/>
        <v>0.96</v>
      </c>
      <c r="AH21" s="203">
        <v>15</v>
      </c>
      <c r="AI21" s="207">
        <v>23</v>
      </c>
      <c r="AJ21" s="96">
        <f t="shared" si="14"/>
        <v>38</v>
      </c>
      <c r="AK21" s="209">
        <f>ROUND(AVERAGE(5-4*(AJ21)/(AJ9)),1)</f>
        <v>3.5</v>
      </c>
      <c r="AL21" s="212">
        <f t="shared" si="15"/>
        <v>0.52500000000000002</v>
      </c>
      <c r="AM21" s="207">
        <v>32</v>
      </c>
      <c r="AN21" s="207">
        <v>34</v>
      </c>
      <c r="AO21" s="96">
        <f t="shared" si="16"/>
        <v>66</v>
      </c>
      <c r="AP21" s="209">
        <f>ROUND(AVERAGE(5-4*(AO21)/(AO9)),1)</f>
        <v>2.4</v>
      </c>
      <c r="AQ21" s="215">
        <f t="shared" si="17"/>
        <v>0.36</v>
      </c>
      <c r="AR21" s="207">
        <v>34</v>
      </c>
      <c r="AS21" s="207">
        <v>33</v>
      </c>
      <c r="AT21" s="96">
        <f t="shared" si="18"/>
        <v>67</v>
      </c>
      <c r="AU21" s="213">
        <f>ROUND(AVERAGE(5-4*(AT21)/(AT9)),1)</f>
        <v>2.2999999999999998</v>
      </c>
      <c r="AV21" s="214">
        <f t="shared" si="19"/>
        <v>0.34499999999999997</v>
      </c>
      <c r="AW21" s="207">
        <v>83</v>
      </c>
      <c r="AX21" s="207">
        <v>80</v>
      </c>
      <c r="AY21" s="207">
        <v>87</v>
      </c>
      <c r="AZ21" s="93">
        <f t="shared" si="20"/>
        <v>250</v>
      </c>
      <c r="BA21" s="213">
        <f>ROUND(AVERAGE(5-4*(AZ21)/(AZ9)),1)</f>
        <v>1.7</v>
      </c>
      <c r="BB21" s="214">
        <f t="shared" si="21"/>
        <v>0.255</v>
      </c>
      <c r="BC21" s="81">
        <v>25.5</v>
      </c>
      <c r="BD21" s="213">
        <f>5-(4*BC21/BC9)</f>
        <v>1.2222222222222223</v>
      </c>
      <c r="BE21" s="214">
        <f t="shared" si="22"/>
        <v>0.12222222222222223</v>
      </c>
      <c r="BF21" s="206">
        <v>48</v>
      </c>
      <c r="BG21" s="157">
        <f>ROUND(AVERAGE(5-4*(BF21)/(BF9)),1)</f>
        <v>2.2999999999999998</v>
      </c>
      <c r="BH21" s="149">
        <f t="shared" si="23"/>
        <v>0.69</v>
      </c>
      <c r="BI21" s="165">
        <f t="shared" si="24"/>
        <v>2.6794444444444445</v>
      </c>
      <c r="BJ21" s="165">
        <f t="shared" si="25"/>
        <v>2.2972222222222221</v>
      </c>
      <c r="BK21" s="165">
        <f t="shared" si="26"/>
        <v>2.4883333333333333</v>
      </c>
      <c r="BL21" s="81" t="s">
        <v>91</v>
      </c>
    </row>
    <row r="22" spans="1:64" ht="15" customHeight="1" x14ac:dyDescent="0.3">
      <c r="A22" s="272">
        <v>12</v>
      </c>
      <c r="B22" s="273" t="s">
        <v>337</v>
      </c>
      <c r="C22" s="237" t="s">
        <v>338</v>
      </c>
      <c r="D22" s="86">
        <v>32</v>
      </c>
      <c r="E22" s="86">
        <v>12</v>
      </c>
      <c r="F22" s="93">
        <f t="shared" si="1"/>
        <v>44</v>
      </c>
      <c r="G22" s="266">
        <f>ROUND(AVERAGE(5-4*(F22)/(F9)),1)</f>
        <v>3.2</v>
      </c>
      <c r="H22" s="108">
        <f t="shared" si="2"/>
        <v>0.48</v>
      </c>
      <c r="I22" s="78">
        <v>28</v>
      </c>
      <c r="J22" s="305">
        <f t="shared" si="3"/>
        <v>1.3</v>
      </c>
      <c r="K22" s="78">
        <v>35</v>
      </c>
      <c r="L22" s="78">
        <v>30</v>
      </c>
      <c r="M22" s="81">
        <f t="shared" si="4"/>
        <v>65</v>
      </c>
      <c r="N22" s="266">
        <f>ROUND(AVERAGE(5-4*(M22)/(M9)),1)</f>
        <v>2.4</v>
      </c>
      <c r="O22" s="108">
        <f t="shared" si="5"/>
        <v>0.36</v>
      </c>
      <c r="P22" s="306" t="e">
        <f>ROUND(5-4*#REF!/10,1)</f>
        <v>#REF!</v>
      </c>
      <c r="Q22" s="307"/>
      <c r="R22" s="81">
        <v>37</v>
      </c>
      <c r="S22" s="81">
        <v>28</v>
      </c>
      <c r="T22" s="93">
        <v>37</v>
      </c>
      <c r="U22" s="106">
        <f>ROUND(AVERAGE(5-4*(T22)/(T9)),1)</f>
        <v>3.5</v>
      </c>
      <c r="V22" s="108">
        <f t="shared" si="7"/>
        <v>0.52500000000000002</v>
      </c>
      <c r="W22" s="86">
        <v>70</v>
      </c>
      <c r="X22" s="95">
        <v>75</v>
      </c>
      <c r="Y22" s="96">
        <f t="shared" si="8"/>
        <v>145</v>
      </c>
      <c r="Z22" s="106">
        <f>ROUND(AVERAGE(5-4*(Y22)/(Y9)),1)</f>
        <v>2.1</v>
      </c>
      <c r="AA22" s="108">
        <f t="shared" si="9"/>
        <v>0.315</v>
      </c>
      <c r="AB22" s="98">
        <v>27</v>
      </c>
      <c r="AC22" s="106">
        <f t="shared" si="10"/>
        <v>1</v>
      </c>
      <c r="AD22" s="108">
        <f t="shared" si="11"/>
        <v>0.1</v>
      </c>
      <c r="AE22" s="75">
        <v>26</v>
      </c>
      <c r="AF22" s="107">
        <f t="shared" si="12"/>
        <v>3.5</v>
      </c>
      <c r="AG22" s="108">
        <f t="shared" si="13"/>
        <v>1.05</v>
      </c>
      <c r="AH22" s="96">
        <v>23</v>
      </c>
      <c r="AI22" s="93">
        <v>25</v>
      </c>
      <c r="AJ22" s="96">
        <f t="shared" si="14"/>
        <v>48</v>
      </c>
      <c r="AK22" s="106">
        <f>ROUND(AVERAGE(5-4*(AJ22)/(AJ9)),1)</f>
        <v>3.1</v>
      </c>
      <c r="AL22" s="108">
        <f t="shared" si="15"/>
        <v>0.46499999999999997</v>
      </c>
      <c r="AM22" s="93">
        <v>34</v>
      </c>
      <c r="AN22" s="93">
        <v>33</v>
      </c>
      <c r="AO22" s="96">
        <f t="shared" si="16"/>
        <v>67</v>
      </c>
      <c r="AP22" s="106">
        <f>ROUND(AVERAGE(5-4*(AO22)/(AO9)),1)</f>
        <v>2.2999999999999998</v>
      </c>
      <c r="AQ22" s="158">
        <f t="shared" si="17"/>
        <v>0.34499999999999997</v>
      </c>
      <c r="AR22" s="93">
        <v>35</v>
      </c>
      <c r="AS22" s="93">
        <v>35</v>
      </c>
      <c r="AT22" s="96">
        <f t="shared" si="18"/>
        <v>70</v>
      </c>
      <c r="AU22" s="148">
        <f>ROUND(AVERAGE(5-4*(AT22)/(AT9)),1)</f>
        <v>2.2000000000000002</v>
      </c>
      <c r="AV22" s="149">
        <f t="shared" si="19"/>
        <v>0.33</v>
      </c>
      <c r="AW22" s="93">
        <v>85</v>
      </c>
      <c r="AX22" s="93">
        <v>87</v>
      </c>
      <c r="AY22" s="93">
        <v>87</v>
      </c>
      <c r="AZ22" s="93">
        <f t="shared" ref="AZ22:AZ68" si="27">SUM(AX22+AW22+AY22)</f>
        <v>259</v>
      </c>
      <c r="BA22" s="148">
        <f>ROUND(AVERAGE(5-4*(AZ22)/(AZ9)),1)</f>
        <v>1.5</v>
      </c>
      <c r="BB22" s="149">
        <f t="shared" si="21"/>
        <v>0.22499999999999998</v>
      </c>
      <c r="BC22" s="165">
        <v>27</v>
      </c>
      <c r="BD22" s="148">
        <f>5-(4*BC22/BC9)</f>
        <v>1</v>
      </c>
      <c r="BE22" s="149">
        <f t="shared" si="22"/>
        <v>0.1</v>
      </c>
      <c r="BF22" s="81">
        <v>40</v>
      </c>
      <c r="BG22" s="157">
        <f>ROUND(AVERAGE(5-4*(BF22)/(BF9)),1)</f>
        <v>2.7</v>
      </c>
      <c r="BH22" s="149">
        <f t="shared" si="23"/>
        <v>0.81</v>
      </c>
      <c r="BI22" s="165">
        <f t="shared" si="24"/>
        <v>2.83</v>
      </c>
      <c r="BJ22" s="165">
        <f t="shared" si="25"/>
        <v>2.2749999999999999</v>
      </c>
      <c r="BK22" s="165">
        <v>2.5</v>
      </c>
      <c r="BL22" s="81" t="s">
        <v>91</v>
      </c>
    </row>
    <row r="23" spans="1:64" ht="14.25" customHeight="1" x14ac:dyDescent="0.3">
      <c r="A23" s="272">
        <v>13</v>
      </c>
      <c r="B23" s="273" t="s">
        <v>339</v>
      </c>
      <c r="C23" s="237" t="s">
        <v>340</v>
      </c>
      <c r="D23" s="86">
        <v>10</v>
      </c>
      <c r="E23" s="86">
        <v>30</v>
      </c>
      <c r="F23" s="93">
        <f t="shared" si="1"/>
        <v>40</v>
      </c>
      <c r="G23" s="266">
        <f>ROUND(AVERAGE(5-4*(F23)/(F9)),1)</f>
        <v>3.4</v>
      </c>
      <c r="H23" s="108">
        <f t="shared" si="2"/>
        <v>0.51</v>
      </c>
      <c r="I23" s="78">
        <v>30</v>
      </c>
      <c r="J23" s="305">
        <f t="shared" si="3"/>
        <v>1</v>
      </c>
      <c r="K23" s="78">
        <v>35</v>
      </c>
      <c r="L23" s="78">
        <v>31</v>
      </c>
      <c r="M23" s="81">
        <f t="shared" si="4"/>
        <v>66</v>
      </c>
      <c r="N23" s="266">
        <f>ROUND(AVERAGE(5-4*(M23)/(M9)),1)</f>
        <v>2.4</v>
      </c>
      <c r="O23" s="108">
        <f t="shared" si="5"/>
        <v>0.36</v>
      </c>
      <c r="P23" s="306" t="e">
        <f>ROUND(5-4*#REF!/10,1)</f>
        <v>#REF!</v>
      </c>
      <c r="Q23" s="307"/>
      <c r="R23" s="81">
        <v>28</v>
      </c>
      <c r="S23" s="81">
        <v>29</v>
      </c>
      <c r="T23" s="93">
        <f t="shared" si="6"/>
        <v>57</v>
      </c>
      <c r="U23" s="106">
        <f>ROUND(AVERAGE(5-4*(T23)/(T9)),1)</f>
        <v>2.7</v>
      </c>
      <c r="V23" s="108">
        <f t="shared" si="7"/>
        <v>0.40500000000000003</v>
      </c>
      <c r="W23" s="86">
        <v>70</v>
      </c>
      <c r="X23" s="95">
        <v>75</v>
      </c>
      <c r="Y23" s="96">
        <f t="shared" si="8"/>
        <v>145</v>
      </c>
      <c r="Z23" s="106">
        <f>ROUND(AVERAGE(5-4*(Y23)/(Y9)),1)</f>
        <v>2.1</v>
      </c>
      <c r="AA23" s="108">
        <f t="shared" si="9"/>
        <v>0.315</v>
      </c>
      <c r="AB23" s="98">
        <v>24</v>
      </c>
      <c r="AC23" s="106">
        <f t="shared" si="10"/>
        <v>1.4444444444444446</v>
      </c>
      <c r="AD23" s="108">
        <f t="shared" si="11"/>
        <v>0.14444444444444446</v>
      </c>
      <c r="AE23" s="75">
        <v>25</v>
      </c>
      <c r="AF23" s="107">
        <f t="shared" si="12"/>
        <v>3.6</v>
      </c>
      <c r="AG23" s="108">
        <f t="shared" si="13"/>
        <v>1.08</v>
      </c>
      <c r="AH23" s="96">
        <v>17</v>
      </c>
      <c r="AI23" s="93">
        <v>27</v>
      </c>
      <c r="AJ23" s="96">
        <f t="shared" si="14"/>
        <v>44</v>
      </c>
      <c r="AK23" s="106">
        <f>ROUND(AVERAGE(5-4*(AJ23)/(AJ9)),1)</f>
        <v>3.2</v>
      </c>
      <c r="AL23" s="108">
        <f t="shared" si="15"/>
        <v>0.48</v>
      </c>
      <c r="AM23" s="93">
        <v>30</v>
      </c>
      <c r="AN23" s="93">
        <v>30</v>
      </c>
      <c r="AO23" s="96">
        <f t="shared" si="16"/>
        <v>60</v>
      </c>
      <c r="AP23" s="106">
        <f>ROUND(AVERAGE(5-4*(AO23)/(AO9)),1)</f>
        <v>2.6</v>
      </c>
      <c r="AQ23" s="158">
        <f t="shared" si="17"/>
        <v>0.39</v>
      </c>
      <c r="AR23" s="93">
        <v>35</v>
      </c>
      <c r="AS23" s="93">
        <v>32</v>
      </c>
      <c r="AT23" s="96">
        <f t="shared" si="18"/>
        <v>67</v>
      </c>
      <c r="AU23" s="148">
        <f>ROUND(AVERAGE(5-4*(AT23)/(AT9)),1)</f>
        <v>2.2999999999999998</v>
      </c>
      <c r="AV23" s="149">
        <f t="shared" si="19"/>
        <v>0.34499999999999997</v>
      </c>
      <c r="AW23" s="93">
        <v>80</v>
      </c>
      <c r="AX23" s="93">
        <v>80</v>
      </c>
      <c r="AY23" s="93">
        <v>85</v>
      </c>
      <c r="AZ23" s="93">
        <f t="shared" si="27"/>
        <v>245</v>
      </c>
      <c r="BA23" s="148">
        <f>ROUND(AVERAGE(5-4*(AZ23)/(AZ9)),1)</f>
        <v>1.7</v>
      </c>
      <c r="BB23" s="149">
        <f t="shared" si="21"/>
        <v>0.255</v>
      </c>
      <c r="BC23" s="165">
        <v>27</v>
      </c>
      <c r="BD23" s="148">
        <f>5-(4*BC23/BC9)</f>
        <v>1</v>
      </c>
      <c r="BE23" s="149">
        <f t="shared" si="22"/>
        <v>0.1</v>
      </c>
      <c r="BF23" s="81">
        <v>35</v>
      </c>
      <c r="BG23" s="157">
        <f>ROUND(AVERAGE(5-4*(BF23)/(BF9)),1)</f>
        <v>3</v>
      </c>
      <c r="BH23" s="149">
        <f t="shared" si="23"/>
        <v>0.89999999999999991</v>
      </c>
      <c r="BI23" s="165">
        <f t="shared" si="24"/>
        <v>2.8144444444444443</v>
      </c>
      <c r="BJ23" s="165">
        <f t="shared" si="25"/>
        <v>2.4699999999999998</v>
      </c>
      <c r="BK23" s="165">
        <f t="shared" si="26"/>
        <v>2.6422222222222222</v>
      </c>
      <c r="BL23" s="81" t="s">
        <v>91</v>
      </c>
    </row>
    <row r="24" spans="1:64" ht="15" customHeight="1" x14ac:dyDescent="0.3">
      <c r="A24" s="272">
        <v>14</v>
      </c>
      <c r="B24" s="273" t="s">
        <v>341</v>
      </c>
      <c r="C24" s="237" t="s">
        <v>342</v>
      </c>
      <c r="D24" s="86">
        <v>24</v>
      </c>
      <c r="E24" s="86">
        <v>19</v>
      </c>
      <c r="F24" s="93">
        <f t="shared" si="1"/>
        <v>43</v>
      </c>
      <c r="G24" s="266">
        <f>ROUND(AVERAGE(5-4*(F24)/(F9)),1)</f>
        <v>3.3</v>
      </c>
      <c r="H24" s="108">
        <f t="shared" si="2"/>
        <v>0.49499999999999994</v>
      </c>
      <c r="I24" s="78">
        <v>26</v>
      </c>
      <c r="J24" s="305">
        <f t="shared" si="3"/>
        <v>1.5</v>
      </c>
      <c r="K24" s="78">
        <v>30</v>
      </c>
      <c r="L24" s="78">
        <v>32</v>
      </c>
      <c r="M24" s="81">
        <f t="shared" si="4"/>
        <v>62</v>
      </c>
      <c r="N24" s="266">
        <f>ROUND(AVERAGE(5-4*(M24)/(M9)),1)</f>
        <v>2.5</v>
      </c>
      <c r="O24" s="108">
        <f t="shared" si="5"/>
        <v>0.375</v>
      </c>
      <c r="P24" s="306" t="e">
        <f>ROUND(5-4*#REF!/10,1)</f>
        <v>#REF!</v>
      </c>
      <c r="Q24" s="307"/>
      <c r="R24" s="81">
        <v>34</v>
      </c>
      <c r="S24" s="81">
        <v>27</v>
      </c>
      <c r="T24" s="93">
        <f t="shared" si="6"/>
        <v>61</v>
      </c>
      <c r="U24" s="106">
        <f>ROUND(AVERAGE(5-4*(T24)/(T9)),1)</f>
        <v>2.6</v>
      </c>
      <c r="V24" s="108">
        <f>U24*0.15</f>
        <v>0.39</v>
      </c>
      <c r="W24" s="83">
        <v>75</v>
      </c>
      <c r="X24" s="95">
        <v>75</v>
      </c>
      <c r="Y24" s="96">
        <f t="shared" si="8"/>
        <v>150</v>
      </c>
      <c r="Z24" s="106">
        <f>ROUND(AVERAGE(5-4*(Y24)/(Y9)),1)</f>
        <v>2</v>
      </c>
      <c r="AA24" s="108">
        <f t="shared" si="9"/>
        <v>0.3</v>
      </c>
      <c r="AB24" s="98">
        <v>25.5</v>
      </c>
      <c r="AC24" s="106">
        <f t="shared" si="10"/>
        <v>1.2222222222222223</v>
      </c>
      <c r="AD24" s="108">
        <f t="shared" si="11"/>
        <v>0.12222222222222223</v>
      </c>
      <c r="AE24" s="83">
        <v>20</v>
      </c>
      <c r="AF24" s="107">
        <f t="shared" si="12"/>
        <v>3.9</v>
      </c>
      <c r="AG24" s="108">
        <f>AF24*0.3</f>
        <v>1.17</v>
      </c>
      <c r="AH24" s="96">
        <v>17</v>
      </c>
      <c r="AI24" s="93">
        <v>21</v>
      </c>
      <c r="AJ24" s="96">
        <f t="shared" si="14"/>
        <v>38</v>
      </c>
      <c r="AK24" s="106">
        <f>ROUND(AVERAGE(5-4*(AJ24)/(AJ9)),1)</f>
        <v>3.5</v>
      </c>
      <c r="AL24" s="108">
        <f t="shared" si="15"/>
        <v>0.52500000000000002</v>
      </c>
      <c r="AM24" s="93">
        <v>30</v>
      </c>
      <c r="AN24" s="93">
        <v>30</v>
      </c>
      <c r="AO24" s="96">
        <f t="shared" si="16"/>
        <v>60</v>
      </c>
      <c r="AP24" s="106">
        <f>ROUND(AVERAGE(5-4*(AO24)/(AO9)),1)</f>
        <v>2.6</v>
      </c>
      <c r="AQ24" s="158">
        <f t="shared" si="17"/>
        <v>0.39</v>
      </c>
      <c r="AR24" s="93">
        <v>30</v>
      </c>
      <c r="AS24" s="93">
        <v>35</v>
      </c>
      <c r="AT24" s="96">
        <f t="shared" si="18"/>
        <v>65</v>
      </c>
      <c r="AU24" s="148">
        <f>ROUND(AVERAGE(5-4*(AT24)/(AT9)),1)</f>
        <v>2.4</v>
      </c>
      <c r="AV24" s="149">
        <f t="shared" si="19"/>
        <v>0.36</v>
      </c>
      <c r="AW24" s="93">
        <v>80</v>
      </c>
      <c r="AX24" s="93">
        <v>80</v>
      </c>
      <c r="AY24" s="93">
        <v>85</v>
      </c>
      <c r="AZ24" s="93">
        <f t="shared" si="27"/>
        <v>245</v>
      </c>
      <c r="BA24" s="148">
        <f>ROUND(AVERAGE(5-4*(AZ24)/(AZ9)),1)</f>
        <v>1.7</v>
      </c>
      <c r="BB24" s="149">
        <f t="shared" si="21"/>
        <v>0.255</v>
      </c>
      <c r="BC24" s="165">
        <v>27</v>
      </c>
      <c r="BD24" s="148">
        <f>5-(4*BC24/BC9)</f>
        <v>1</v>
      </c>
      <c r="BE24" s="149">
        <f t="shared" si="22"/>
        <v>0.1</v>
      </c>
      <c r="BF24" s="81">
        <v>38</v>
      </c>
      <c r="BG24" s="157">
        <f>ROUND(AVERAGE(5-4*(BF24)/(BF9)),1)</f>
        <v>2.8</v>
      </c>
      <c r="BH24" s="149">
        <f t="shared" si="23"/>
        <v>0.84</v>
      </c>
      <c r="BI24" s="165">
        <f t="shared" si="24"/>
        <v>2.8522222222222222</v>
      </c>
      <c r="BJ24" s="165">
        <f t="shared" si="25"/>
        <v>2.4699999999999998</v>
      </c>
      <c r="BK24" s="165">
        <f t="shared" si="26"/>
        <v>2.661111111111111</v>
      </c>
      <c r="BL24" s="81" t="s">
        <v>91</v>
      </c>
    </row>
    <row r="25" spans="1:64" ht="14.25" customHeight="1" x14ac:dyDescent="0.3">
      <c r="A25" s="272">
        <v>15</v>
      </c>
      <c r="B25" s="273" t="s">
        <v>343</v>
      </c>
      <c r="C25" s="237" t="s">
        <v>344</v>
      </c>
      <c r="D25" s="86">
        <v>28</v>
      </c>
      <c r="E25" s="86">
        <v>28</v>
      </c>
      <c r="F25" s="93">
        <f t="shared" si="1"/>
        <v>56</v>
      </c>
      <c r="G25" s="266">
        <f>ROUND(AVERAGE(5-4*(F25)/(F9)),1)</f>
        <v>2.8</v>
      </c>
      <c r="H25" s="108">
        <f t="shared" si="2"/>
        <v>0.42</v>
      </c>
      <c r="I25" s="78">
        <v>22</v>
      </c>
      <c r="J25" s="305">
        <f t="shared" si="3"/>
        <v>2.1</v>
      </c>
      <c r="K25" s="78">
        <v>37</v>
      </c>
      <c r="L25" s="78">
        <v>30</v>
      </c>
      <c r="M25" s="81">
        <f t="shared" si="4"/>
        <v>67</v>
      </c>
      <c r="N25" s="266">
        <f>ROUND(AVERAGE(5-4*(M25)/(M9)),1)</f>
        <v>2.2999999999999998</v>
      </c>
      <c r="O25" s="108">
        <f t="shared" si="5"/>
        <v>0.34499999999999997</v>
      </c>
      <c r="P25" s="306" t="e">
        <f>ROUND(5-4*#REF!/10,1)</f>
        <v>#REF!</v>
      </c>
      <c r="Q25" s="307"/>
      <c r="R25" s="81">
        <v>30</v>
      </c>
      <c r="S25" s="81">
        <v>35</v>
      </c>
      <c r="T25" s="93">
        <f t="shared" si="6"/>
        <v>65</v>
      </c>
      <c r="U25" s="106">
        <f>ROUND(AVERAGE(5-4*(T25)/(T9)),1)</f>
        <v>2.4</v>
      </c>
      <c r="V25" s="108">
        <f t="shared" si="7"/>
        <v>0.36</v>
      </c>
      <c r="W25" s="83">
        <v>70</v>
      </c>
      <c r="X25" s="95">
        <v>75</v>
      </c>
      <c r="Y25" s="96">
        <f t="shared" si="8"/>
        <v>145</v>
      </c>
      <c r="Z25" s="106">
        <f>ROUND(AVERAGE(5-4*(Y25)/(Y9)),1)</f>
        <v>2.1</v>
      </c>
      <c r="AA25" s="108">
        <f t="shared" si="9"/>
        <v>0.315</v>
      </c>
      <c r="AB25" s="98">
        <v>25.5</v>
      </c>
      <c r="AC25" s="106">
        <f t="shared" si="10"/>
        <v>1.2222222222222223</v>
      </c>
      <c r="AD25" s="108">
        <f t="shared" si="11"/>
        <v>0.12222222222222223</v>
      </c>
      <c r="AE25" s="83">
        <v>35</v>
      </c>
      <c r="AF25" s="107">
        <f t="shared" si="12"/>
        <v>3</v>
      </c>
      <c r="AG25" s="108">
        <f t="shared" si="13"/>
        <v>0.89999999999999991</v>
      </c>
      <c r="AH25" s="96">
        <v>6</v>
      </c>
      <c r="AI25" s="93">
        <v>32</v>
      </c>
      <c r="AJ25" s="96">
        <f t="shared" si="14"/>
        <v>38</v>
      </c>
      <c r="AK25" s="106">
        <f>ROUND(AVERAGE(5-4*(AJ25)/(AJ9)),1)</f>
        <v>3.5</v>
      </c>
      <c r="AL25" s="108">
        <f t="shared" si="15"/>
        <v>0.52500000000000002</v>
      </c>
      <c r="AM25" s="93">
        <v>28</v>
      </c>
      <c r="AN25" s="93">
        <v>34</v>
      </c>
      <c r="AO25" s="96">
        <f t="shared" si="16"/>
        <v>62</v>
      </c>
      <c r="AP25" s="106">
        <f>ROUND(AVERAGE(5-4*(AO25)/(AO9)),1)</f>
        <v>2.5</v>
      </c>
      <c r="AQ25" s="158">
        <f t="shared" si="17"/>
        <v>0.375</v>
      </c>
      <c r="AR25" s="93">
        <v>32</v>
      </c>
      <c r="AS25" s="93">
        <v>30</v>
      </c>
      <c r="AT25" s="96">
        <f t="shared" si="18"/>
        <v>62</v>
      </c>
      <c r="AU25" s="148">
        <f>ROUND(AVERAGE(5-4*(AT25)/(AT9)),1)</f>
        <v>2.5</v>
      </c>
      <c r="AV25" s="149">
        <f t="shared" si="19"/>
        <v>0.375</v>
      </c>
      <c r="AW25" s="93">
        <v>82</v>
      </c>
      <c r="AX25" s="93">
        <v>80</v>
      </c>
      <c r="AY25" s="93">
        <v>80</v>
      </c>
      <c r="AZ25" s="93">
        <f t="shared" si="27"/>
        <v>242</v>
      </c>
      <c r="BA25" s="148">
        <f>ROUND(AVERAGE(5-4*(AZ25)/(AZ9)),1)</f>
        <v>1.8</v>
      </c>
      <c r="BB25" s="149">
        <f t="shared" si="21"/>
        <v>0.27</v>
      </c>
      <c r="BC25" s="165">
        <v>27</v>
      </c>
      <c r="BD25" s="148">
        <f>5-(4*BC25/BC9)</f>
        <v>1</v>
      </c>
      <c r="BE25" s="149">
        <f t="shared" si="22"/>
        <v>0.1</v>
      </c>
      <c r="BF25" s="81">
        <v>35</v>
      </c>
      <c r="BG25" s="157">
        <f>ROUND(AVERAGE(5-4*(BF25)/(BF9)),1)</f>
        <v>3</v>
      </c>
      <c r="BH25" s="149">
        <f t="shared" si="23"/>
        <v>0.89999999999999991</v>
      </c>
      <c r="BI25" s="165">
        <f t="shared" si="24"/>
        <v>2.4622222222222221</v>
      </c>
      <c r="BJ25" s="165">
        <f>AL25+AQ25+AV25+BB25+BE25+BH25</f>
        <v>2.5449999999999999</v>
      </c>
      <c r="BK25" s="165">
        <f t="shared" si="26"/>
        <v>2.5036111111111108</v>
      </c>
      <c r="BL25" s="81" t="s">
        <v>91</v>
      </c>
    </row>
    <row r="26" spans="1:64" ht="14.25" customHeight="1" x14ac:dyDescent="0.3">
      <c r="A26" s="272">
        <v>16</v>
      </c>
      <c r="B26" s="273" t="s">
        <v>345</v>
      </c>
      <c r="C26" s="237" t="s">
        <v>346</v>
      </c>
      <c r="D26" s="86">
        <v>31</v>
      </c>
      <c r="E26" s="86">
        <v>34</v>
      </c>
      <c r="F26" s="93">
        <f t="shared" si="1"/>
        <v>65</v>
      </c>
      <c r="G26" s="266">
        <f>ROUND(AVERAGE(5-4*(F26)/(F9)),1)</f>
        <v>2.4</v>
      </c>
      <c r="H26" s="108">
        <f t="shared" si="2"/>
        <v>0.36</v>
      </c>
      <c r="I26" s="78">
        <v>26</v>
      </c>
      <c r="J26" s="305">
        <f t="shared" si="3"/>
        <v>1.5</v>
      </c>
      <c r="K26" s="78">
        <v>40</v>
      </c>
      <c r="L26" s="78">
        <v>32</v>
      </c>
      <c r="M26" s="81">
        <f t="shared" si="4"/>
        <v>72</v>
      </c>
      <c r="N26" s="266">
        <f>ROUND(AVERAGE(5-4*(M26)/(M9)),1)</f>
        <v>2.1</v>
      </c>
      <c r="O26" s="108">
        <f t="shared" si="5"/>
        <v>0.315</v>
      </c>
      <c r="P26" s="306" t="e">
        <f>ROUND(5-4*#REF!/10,1)</f>
        <v>#REF!</v>
      </c>
      <c r="Q26" s="307"/>
      <c r="R26" s="81">
        <v>32</v>
      </c>
      <c r="S26" s="81">
        <v>30</v>
      </c>
      <c r="T26" s="93">
        <f t="shared" si="6"/>
        <v>62</v>
      </c>
      <c r="U26" s="106">
        <f>ROUND(AVERAGE(5-4*(T26)/(T9)),1)</f>
        <v>2.5</v>
      </c>
      <c r="V26" s="108">
        <f t="shared" si="7"/>
        <v>0.375</v>
      </c>
      <c r="W26" s="83">
        <v>100</v>
      </c>
      <c r="X26" s="95">
        <v>100</v>
      </c>
      <c r="Y26" s="96">
        <f t="shared" si="8"/>
        <v>200</v>
      </c>
      <c r="Z26" s="106">
        <f>ROUND(AVERAGE(5-4*(Y26)/(Y9)),1)</f>
        <v>1</v>
      </c>
      <c r="AA26" s="108">
        <f t="shared" si="9"/>
        <v>0.15</v>
      </c>
      <c r="AB26" s="98">
        <v>27</v>
      </c>
      <c r="AC26" s="106">
        <f t="shared" si="10"/>
        <v>1</v>
      </c>
      <c r="AD26" s="108">
        <f t="shared" si="11"/>
        <v>0.1</v>
      </c>
      <c r="AE26" s="83">
        <v>61</v>
      </c>
      <c r="AF26" s="107">
        <f t="shared" si="12"/>
        <v>1.5</v>
      </c>
      <c r="AG26" s="108">
        <f t="shared" si="13"/>
        <v>0.44999999999999996</v>
      </c>
      <c r="AH26" s="96">
        <v>35</v>
      </c>
      <c r="AI26" s="93">
        <v>31</v>
      </c>
      <c r="AJ26" s="96">
        <f t="shared" si="14"/>
        <v>66</v>
      </c>
      <c r="AK26" s="106">
        <f>ROUND(AVERAGE(5-4*(AJ26)/(AJ9)),1)</f>
        <v>2.4</v>
      </c>
      <c r="AL26" s="108">
        <f t="shared" si="15"/>
        <v>0.36</v>
      </c>
      <c r="AM26" s="93">
        <v>37</v>
      </c>
      <c r="AN26" s="93">
        <v>40</v>
      </c>
      <c r="AO26" s="96">
        <f t="shared" si="16"/>
        <v>77</v>
      </c>
      <c r="AP26" s="106">
        <f>ROUND(AVERAGE(5-4*(AO26)/(AO9)),1)</f>
        <v>1.9</v>
      </c>
      <c r="AQ26" s="158">
        <f t="shared" si="17"/>
        <v>0.28499999999999998</v>
      </c>
      <c r="AR26" s="93">
        <v>40</v>
      </c>
      <c r="AS26" s="93">
        <v>40</v>
      </c>
      <c r="AT26" s="96">
        <f t="shared" si="18"/>
        <v>80</v>
      </c>
      <c r="AU26" s="148">
        <f>ROUND(AVERAGE(5-4*(AT26)/(AT9)),1)</f>
        <v>1.8</v>
      </c>
      <c r="AV26" s="149">
        <f t="shared" si="19"/>
        <v>0.27</v>
      </c>
      <c r="AW26" s="93">
        <v>95</v>
      </c>
      <c r="AX26" s="93">
        <v>95</v>
      </c>
      <c r="AY26" s="93">
        <v>90</v>
      </c>
      <c r="AZ26" s="93">
        <f t="shared" si="27"/>
        <v>280</v>
      </c>
      <c r="BA26" s="148">
        <f>ROUND(AVERAGE(5-4*(AZ26)/(AZ9)),1)</f>
        <v>1.3</v>
      </c>
      <c r="BB26" s="149">
        <f t="shared" si="21"/>
        <v>0.19500000000000001</v>
      </c>
      <c r="BC26" s="165">
        <v>27</v>
      </c>
      <c r="BD26" s="148">
        <f>5-(4*BC26/BC9)</f>
        <v>1</v>
      </c>
      <c r="BE26" s="149">
        <f t="shared" si="22"/>
        <v>0.1</v>
      </c>
      <c r="BF26" s="81">
        <v>56</v>
      </c>
      <c r="BG26" s="157">
        <f>ROUND(AVERAGE(5-4*(BF26)/(BF9)),1)</f>
        <v>1.8</v>
      </c>
      <c r="BH26" s="149">
        <f t="shared" si="23"/>
        <v>0.54</v>
      </c>
      <c r="BI26" s="165">
        <f t="shared" si="24"/>
        <v>1.75</v>
      </c>
      <c r="BJ26" s="165">
        <f t="shared" si="25"/>
        <v>1.7500000000000002</v>
      </c>
      <c r="BK26" s="165">
        <f t="shared" si="26"/>
        <v>1.75</v>
      </c>
      <c r="BL26" s="81" t="s">
        <v>91</v>
      </c>
    </row>
    <row r="27" spans="1:64" s="20" customFormat="1" ht="16.5" customHeight="1" x14ac:dyDescent="0.3">
      <c r="A27" s="272">
        <v>17</v>
      </c>
      <c r="B27" s="273" t="s">
        <v>347</v>
      </c>
      <c r="C27" s="237" t="s">
        <v>348</v>
      </c>
      <c r="D27" s="86">
        <v>12</v>
      </c>
      <c r="E27" s="86">
        <v>32</v>
      </c>
      <c r="F27" s="93">
        <f t="shared" si="1"/>
        <v>44</v>
      </c>
      <c r="G27" s="266">
        <f>ROUND(AVERAGE(5-4*(F27)/(F9)),1)</f>
        <v>3.2</v>
      </c>
      <c r="H27" s="108">
        <f>G27*0.15</f>
        <v>0.48</v>
      </c>
      <c r="I27" s="78">
        <v>0</v>
      </c>
      <c r="J27" s="305">
        <f t="shared" si="3"/>
        <v>5</v>
      </c>
      <c r="K27" s="78">
        <v>39</v>
      </c>
      <c r="L27" s="78">
        <v>34</v>
      </c>
      <c r="M27" s="81">
        <f t="shared" si="4"/>
        <v>73</v>
      </c>
      <c r="N27" s="266">
        <f>ROUND(AVERAGE(5-4*(M27)/(M9)),1)</f>
        <v>2.1</v>
      </c>
      <c r="O27" s="108">
        <f t="shared" si="5"/>
        <v>0.315</v>
      </c>
      <c r="P27" s="306" t="e">
        <f>ROUND(5-4*#REF!/10,1)</f>
        <v>#REF!</v>
      </c>
      <c r="Q27" s="307"/>
      <c r="R27" s="81">
        <v>32</v>
      </c>
      <c r="S27" s="81">
        <v>34</v>
      </c>
      <c r="T27" s="93">
        <f t="shared" si="6"/>
        <v>66</v>
      </c>
      <c r="U27" s="106">
        <f>ROUND(AVERAGE(5-4*(T27)/(T9)),1)</f>
        <v>2.4</v>
      </c>
      <c r="V27" s="108">
        <f t="shared" si="7"/>
        <v>0.36</v>
      </c>
      <c r="W27" s="83">
        <v>95</v>
      </c>
      <c r="X27" s="95">
        <v>90</v>
      </c>
      <c r="Y27" s="96">
        <f t="shared" si="8"/>
        <v>185</v>
      </c>
      <c r="Z27" s="106">
        <f>ROUND(AVERAGE(5-4*(Y27)/(Y9)),1)</f>
        <v>1.3</v>
      </c>
      <c r="AA27" s="108">
        <f t="shared" si="9"/>
        <v>0.19500000000000001</v>
      </c>
      <c r="AB27" s="98">
        <v>27</v>
      </c>
      <c r="AC27" s="106">
        <f t="shared" si="10"/>
        <v>1</v>
      </c>
      <c r="AD27" s="108">
        <f t="shared" si="11"/>
        <v>0.1</v>
      </c>
      <c r="AE27" s="83">
        <v>31</v>
      </c>
      <c r="AF27" s="107">
        <f>ROUND(AVERAGE(5-4*(AE27)/(70)),1)</f>
        <v>3.2</v>
      </c>
      <c r="AG27" s="108">
        <f t="shared" si="13"/>
        <v>0.96</v>
      </c>
      <c r="AH27" s="96">
        <v>29</v>
      </c>
      <c r="AI27" s="93">
        <v>24</v>
      </c>
      <c r="AJ27" s="96">
        <f t="shared" si="14"/>
        <v>53</v>
      </c>
      <c r="AK27" s="106">
        <f>ROUND(AVERAGE(5-4*(AJ27)/(AJ9)),1)</f>
        <v>2.9</v>
      </c>
      <c r="AL27" s="108">
        <f t="shared" si="15"/>
        <v>0.435</v>
      </c>
      <c r="AM27" s="93">
        <v>37</v>
      </c>
      <c r="AN27" s="93">
        <v>35</v>
      </c>
      <c r="AO27" s="96">
        <f t="shared" si="16"/>
        <v>72</v>
      </c>
      <c r="AP27" s="106">
        <f>ROUND(AVERAGE(5-4*(AO27)/(AO9)),1)</f>
        <v>2.1</v>
      </c>
      <c r="AQ27" s="158">
        <f t="shared" si="17"/>
        <v>0.315</v>
      </c>
      <c r="AR27" s="93">
        <v>35</v>
      </c>
      <c r="AS27" s="93">
        <v>37</v>
      </c>
      <c r="AT27" s="96">
        <f t="shared" si="18"/>
        <v>72</v>
      </c>
      <c r="AU27" s="148">
        <f>ROUND(AVERAGE(5-4*(AT27)/(AT9)),1)</f>
        <v>2.1</v>
      </c>
      <c r="AV27" s="149">
        <f t="shared" si="19"/>
        <v>0.315</v>
      </c>
      <c r="AW27" s="93">
        <v>100</v>
      </c>
      <c r="AX27" s="93">
        <v>100</v>
      </c>
      <c r="AY27" s="93">
        <v>87</v>
      </c>
      <c r="AZ27" s="93">
        <f t="shared" si="27"/>
        <v>287</v>
      </c>
      <c r="BA27" s="148">
        <f>ROUND(AVERAGE(5-4*(AZ27)/(AZ9)),1)</f>
        <v>1.2</v>
      </c>
      <c r="BB27" s="149">
        <f t="shared" si="21"/>
        <v>0.18</v>
      </c>
      <c r="BC27" s="165">
        <v>27</v>
      </c>
      <c r="BD27" s="148">
        <f>5-(4*BC27/BC9)</f>
        <v>1</v>
      </c>
      <c r="BE27" s="149">
        <f t="shared" si="22"/>
        <v>0.1</v>
      </c>
      <c r="BF27" s="81">
        <v>35</v>
      </c>
      <c r="BG27" s="157">
        <f>ROUND(AVERAGE(5-4*(BF27)/(BF9)),1)</f>
        <v>3</v>
      </c>
      <c r="BH27" s="149">
        <f t="shared" si="23"/>
        <v>0.89999999999999991</v>
      </c>
      <c r="BI27" s="165">
        <f t="shared" si="24"/>
        <v>2.41</v>
      </c>
      <c r="BJ27" s="165">
        <f t="shared" si="25"/>
        <v>2.2450000000000001</v>
      </c>
      <c r="BK27" s="165">
        <f t="shared" si="26"/>
        <v>2.3275000000000001</v>
      </c>
      <c r="BL27" s="81" t="s">
        <v>91</v>
      </c>
    </row>
    <row r="28" spans="1:64" s="20" customFormat="1" ht="15" customHeight="1" x14ac:dyDescent="0.3">
      <c r="A28" s="272">
        <v>18</v>
      </c>
      <c r="B28" s="273" t="s">
        <v>349</v>
      </c>
      <c r="C28" s="237" t="s">
        <v>350</v>
      </c>
      <c r="D28" s="86">
        <v>13</v>
      </c>
      <c r="E28" s="86">
        <v>28</v>
      </c>
      <c r="F28" s="93">
        <f t="shared" si="1"/>
        <v>41</v>
      </c>
      <c r="G28" s="266">
        <f>ROUND(AVERAGE(5-4*(F28)/(F9)),1)</f>
        <v>3.4</v>
      </c>
      <c r="H28" s="108">
        <f>G28*0.15</f>
        <v>0.51</v>
      </c>
      <c r="I28" s="78">
        <v>25</v>
      </c>
      <c r="J28" s="305">
        <f>ROUND(5-4*I28/30,1)</f>
        <v>1.7</v>
      </c>
      <c r="K28" s="78">
        <v>38</v>
      </c>
      <c r="L28" s="78">
        <v>34</v>
      </c>
      <c r="M28" s="81">
        <f t="shared" si="4"/>
        <v>72</v>
      </c>
      <c r="N28" s="266">
        <f>ROUND(AVERAGE(5-4*(M28)/(M9)),1)</f>
        <v>2.1</v>
      </c>
      <c r="O28" s="108">
        <f t="shared" si="5"/>
        <v>0.315</v>
      </c>
      <c r="P28" s="306" t="e">
        <f>ROUND(5-4*#REF!/10,1)</f>
        <v>#REF!</v>
      </c>
      <c r="Q28" s="307"/>
      <c r="R28" s="83">
        <v>30</v>
      </c>
      <c r="S28" s="83">
        <v>34</v>
      </c>
      <c r="T28" s="93">
        <f t="shared" si="6"/>
        <v>64</v>
      </c>
      <c r="U28" s="106">
        <f>ROUND(AVERAGE(5-4*(T28)/(T9)),1)</f>
        <v>2.4</v>
      </c>
      <c r="V28" s="108">
        <f t="shared" si="7"/>
        <v>0.36</v>
      </c>
      <c r="W28" s="83">
        <v>78</v>
      </c>
      <c r="X28" s="95">
        <v>82</v>
      </c>
      <c r="Y28" s="96">
        <f t="shared" si="8"/>
        <v>160</v>
      </c>
      <c r="Z28" s="106">
        <f>ROUND(AVERAGE(5-4*(Y28)/(Y9)),1)</f>
        <v>1.8</v>
      </c>
      <c r="AA28" s="108">
        <f t="shared" si="9"/>
        <v>0.27</v>
      </c>
      <c r="AB28" s="98">
        <v>27</v>
      </c>
      <c r="AC28" s="106">
        <f t="shared" si="10"/>
        <v>1</v>
      </c>
      <c r="AD28" s="108">
        <f t="shared" si="11"/>
        <v>0.1</v>
      </c>
      <c r="AE28" s="83">
        <v>25</v>
      </c>
      <c r="AF28" s="107">
        <f t="shared" si="12"/>
        <v>3.6</v>
      </c>
      <c r="AG28" s="108">
        <f>AF28*0.3</f>
        <v>1.08</v>
      </c>
      <c r="AH28" s="96">
        <v>25</v>
      </c>
      <c r="AI28" s="93">
        <v>21</v>
      </c>
      <c r="AJ28" s="96">
        <f t="shared" si="14"/>
        <v>46</v>
      </c>
      <c r="AK28" s="106">
        <f>ROUND(AVERAGE(5-4*(AJ28)/(AJ9)),1)</f>
        <v>3.2</v>
      </c>
      <c r="AL28" s="108">
        <f>AK28*0.15</f>
        <v>0.48</v>
      </c>
      <c r="AM28" s="93">
        <v>34</v>
      </c>
      <c r="AN28" s="93">
        <v>32</v>
      </c>
      <c r="AO28" s="96">
        <f t="shared" si="16"/>
        <v>66</v>
      </c>
      <c r="AP28" s="106">
        <f>ROUND(AVERAGE(5-4*(AO28)/(AO9)),1)</f>
        <v>2.4</v>
      </c>
      <c r="AQ28" s="158">
        <f t="shared" si="17"/>
        <v>0.36</v>
      </c>
      <c r="AR28" s="93">
        <v>35</v>
      </c>
      <c r="AS28" s="93">
        <v>34</v>
      </c>
      <c r="AT28" s="96">
        <f t="shared" si="18"/>
        <v>69</v>
      </c>
      <c r="AU28" s="148">
        <f>ROUND(AVERAGE(5-4*(AT28)/(AT9)),1)</f>
        <v>2.2000000000000002</v>
      </c>
      <c r="AV28" s="149">
        <f t="shared" si="19"/>
        <v>0.33</v>
      </c>
      <c r="AW28" s="93">
        <v>90</v>
      </c>
      <c r="AX28" s="93">
        <v>92</v>
      </c>
      <c r="AY28" s="93">
        <v>95</v>
      </c>
      <c r="AZ28" s="93">
        <f t="shared" si="27"/>
        <v>277</v>
      </c>
      <c r="BA28" s="148">
        <f>ROUND(AVERAGE(5-4*(AZ28)/(AZ9)),1)</f>
        <v>1.3</v>
      </c>
      <c r="BB28" s="149">
        <f t="shared" si="21"/>
        <v>0.19500000000000001</v>
      </c>
      <c r="BC28" s="165">
        <v>27</v>
      </c>
      <c r="BD28" s="148">
        <f>5-(4*BC28/BC9)</f>
        <v>1</v>
      </c>
      <c r="BE28" s="149">
        <f t="shared" si="22"/>
        <v>0.1</v>
      </c>
      <c r="BF28" s="81">
        <v>41</v>
      </c>
      <c r="BG28" s="157">
        <f>ROUND(AVERAGE(5-4*(BF28)/(BF9)),1)</f>
        <v>2.7</v>
      </c>
      <c r="BH28" s="149">
        <f t="shared" si="23"/>
        <v>0.81</v>
      </c>
      <c r="BI28" s="165">
        <f t="shared" si="24"/>
        <v>2.6350000000000002</v>
      </c>
      <c r="BJ28" s="165">
        <f t="shared" si="25"/>
        <v>2.2750000000000004</v>
      </c>
      <c r="BK28" s="165">
        <v>2.4</v>
      </c>
      <c r="BL28" s="81" t="s">
        <v>91</v>
      </c>
    </row>
    <row r="29" spans="1:64" s="20" customFormat="1" ht="15.75" customHeight="1" x14ac:dyDescent="0.3">
      <c r="A29" s="272">
        <v>19</v>
      </c>
      <c r="B29" s="273" t="s">
        <v>351</v>
      </c>
      <c r="C29" s="237" t="s">
        <v>352</v>
      </c>
      <c r="D29" s="86">
        <v>29</v>
      </c>
      <c r="E29" s="86">
        <v>22</v>
      </c>
      <c r="F29" s="93">
        <f t="shared" si="1"/>
        <v>51</v>
      </c>
      <c r="G29" s="266">
        <f>ROUND(AVERAGE(5-4*(F29)/(F9)),1)</f>
        <v>3</v>
      </c>
      <c r="H29" s="108">
        <f>G29*0.15</f>
        <v>0.44999999999999996</v>
      </c>
      <c r="I29" s="313"/>
      <c r="J29" s="305"/>
      <c r="K29" s="78">
        <v>39</v>
      </c>
      <c r="L29" s="78">
        <v>27</v>
      </c>
      <c r="M29" s="81">
        <f t="shared" si="4"/>
        <v>66</v>
      </c>
      <c r="N29" s="266">
        <f>ROUND(AVERAGE(5-4*(M29)/(M9)),1)</f>
        <v>2.4</v>
      </c>
      <c r="O29" s="108">
        <f t="shared" si="5"/>
        <v>0.36</v>
      </c>
      <c r="P29" s="306" t="e">
        <f>ROUND(5-4*#REF!/10,1)</f>
        <v>#REF!</v>
      </c>
      <c r="Q29" s="307"/>
      <c r="R29" s="86">
        <v>35</v>
      </c>
      <c r="S29" s="86">
        <v>25</v>
      </c>
      <c r="T29" s="93">
        <f t="shared" si="6"/>
        <v>60</v>
      </c>
      <c r="U29" s="106">
        <f>ROUND(AVERAGE(5-4*(T29)/(T9)),1)</f>
        <v>2.6</v>
      </c>
      <c r="V29" s="108">
        <f t="shared" si="7"/>
        <v>0.39</v>
      </c>
      <c r="W29" s="86">
        <v>80</v>
      </c>
      <c r="X29" s="95">
        <v>83</v>
      </c>
      <c r="Y29" s="96">
        <f t="shared" si="8"/>
        <v>163</v>
      </c>
      <c r="Z29" s="106">
        <f>ROUND(AVERAGE(5-4*(Y29)/(Y9)),1)</f>
        <v>1.7</v>
      </c>
      <c r="AA29" s="108">
        <f t="shared" si="9"/>
        <v>0.255</v>
      </c>
      <c r="AB29" s="98">
        <v>22.5</v>
      </c>
      <c r="AC29" s="106">
        <f t="shared" si="10"/>
        <v>1.6666666666666665</v>
      </c>
      <c r="AD29" s="108">
        <f t="shared" si="11"/>
        <v>0.16666666666666666</v>
      </c>
      <c r="AE29" s="86">
        <v>28</v>
      </c>
      <c r="AF29" s="107">
        <f t="shared" si="12"/>
        <v>3.4</v>
      </c>
      <c r="AG29" s="108">
        <f t="shared" si="13"/>
        <v>1.02</v>
      </c>
      <c r="AH29" s="96">
        <v>25</v>
      </c>
      <c r="AI29" s="93">
        <v>14</v>
      </c>
      <c r="AJ29" s="96">
        <f t="shared" si="14"/>
        <v>39</v>
      </c>
      <c r="AK29" s="106">
        <f>ROUND(AVERAGE(5-4*(AJ29)/(AJ9)),1)</f>
        <v>3.4</v>
      </c>
      <c r="AL29" s="108">
        <f t="shared" si="15"/>
        <v>0.51</v>
      </c>
      <c r="AM29" s="93">
        <v>32</v>
      </c>
      <c r="AN29" s="93">
        <v>31</v>
      </c>
      <c r="AO29" s="96">
        <f t="shared" si="16"/>
        <v>63</v>
      </c>
      <c r="AP29" s="106">
        <f>ROUND(AVERAGE(5-4*(AO29)/(AO9)),1)</f>
        <v>2.5</v>
      </c>
      <c r="AQ29" s="158">
        <f t="shared" si="17"/>
        <v>0.375</v>
      </c>
      <c r="AR29" s="93">
        <v>30</v>
      </c>
      <c r="AS29" s="93">
        <v>33</v>
      </c>
      <c r="AT29" s="96">
        <f t="shared" si="18"/>
        <v>63</v>
      </c>
      <c r="AU29" s="148">
        <f>ROUND(AVERAGE(5-4*(AT29)/(AT9)),1)</f>
        <v>2.5</v>
      </c>
      <c r="AV29" s="149">
        <f t="shared" si="19"/>
        <v>0.375</v>
      </c>
      <c r="AW29" s="93">
        <v>88</v>
      </c>
      <c r="AX29" s="93">
        <v>89</v>
      </c>
      <c r="AY29" s="93">
        <v>87</v>
      </c>
      <c r="AZ29" s="93">
        <f t="shared" si="27"/>
        <v>264</v>
      </c>
      <c r="BA29" s="148">
        <f>ROUND(AVERAGE(5-4*(AZ29)/(AZ9)),1)</f>
        <v>1.5</v>
      </c>
      <c r="BB29" s="149">
        <f t="shared" si="21"/>
        <v>0.22499999999999998</v>
      </c>
      <c r="BC29" s="165">
        <v>27</v>
      </c>
      <c r="BD29" s="148">
        <f>5-(4*BC29/BC9)</f>
        <v>1</v>
      </c>
      <c r="BE29" s="149">
        <f t="shared" si="22"/>
        <v>0.1</v>
      </c>
      <c r="BF29" s="81">
        <v>25</v>
      </c>
      <c r="BG29" s="157">
        <f>ROUND(AVERAGE(5-4*(BF29)/(BF9)),1)</f>
        <v>3.6</v>
      </c>
      <c r="BH29" s="149">
        <f t="shared" si="23"/>
        <v>1.08</v>
      </c>
      <c r="BI29" s="165">
        <f t="shared" si="24"/>
        <v>2.6416666666666666</v>
      </c>
      <c r="BJ29" s="165">
        <f t="shared" si="25"/>
        <v>2.665</v>
      </c>
      <c r="BK29" s="165">
        <v>2.6</v>
      </c>
      <c r="BL29" s="81" t="s">
        <v>91</v>
      </c>
    </row>
    <row r="30" spans="1:64" s="20" customFormat="1" ht="15.75" customHeight="1" x14ac:dyDescent="0.3">
      <c r="A30" s="272">
        <v>20</v>
      </c>
      <c r="B30" s="273" t="s">
        <v>353</v>
      </c>
      <c r="C30" s="237" t="s">
        <v>354</v>
      </c>
      <c r="D30" s="86">
        <v>10</v>
      </c>
      <c r="E30" s="86">
        <v>23</v>
      </c>
      <c r="F30" s="93">
        <f t="shared" si="1"/>
        <v>33</v>
      </c>
      <c r="G30" s="266">
        <f>ROUND(AVERAGE(5-4*(F30)/(F9)),1)</f>
        <v>3.7</v>
      </c>
      <c r="H30" s="108">
        <f t="shared" ref="H30:H68" si="28">G30*0.15</f>
        <v>0.55500000000000005</v>
      </c>
      <c r="I30" s="78">
        <v>28</v>
      </c>
      <c r="J30" s="305">
        <f t="shared" ref="J30:J45" si="29">ROUND(5-4*I30/30,1)</f>
        <v>1.3</v>
      </c>
      <c r="K30" s="78">
        <v>28</v>
      </c>
      <c r="L30" s="78">
        <v>31</v>
      </c>
      <c r="M30" s="81">
        <f t="shared" si="4"/>
        <v>59</v>
      </c>
      <c r="N30" s="266">
        <f>ROUND(AVERAGE(5-4*(M30)/(M9)),1)</f>
        <v>2.6</v>
      </c>
      <c r="O30" s="108">
        <f t="shared" si="5"/>
        <v>0.39</v>
      </c>
      <c r="P30" s="306" t="e">
        <f>ROUND(5-4*#REF!/10,1)</f>
        <v>#REF!</v>
      </c>
      <c r="Q30" s="307"/>
      <c r="R30" s="86">
        <v>37</v>
      </c>
      <c r="S30" s="86">
        <v>34</v>
      </c>
      <c r="T30" s="93">
        <f t="shared" si="6"/>
        <v>71</v>
      </c>
      <c r="U30" s="106">
        <f>ROUND(AVERAGE(5-4*(T30)/(T9)),1)</f>
        <v>2.2000000000000002</v>
      </c>
      <c r="V30" s="108">
        <f t="shared" si="7"/>
        <v>0.33</v>
      </c>
      <c r="W30" s="86">
        <v>75</v>
      </c>
      <c r="X30" s="95">
        <v>75</v>
      </c>
      <c r="Y30" s="96">
        <f t="shared" si="8"/>
        <v>150</v>
      </c>
      <c r="Z30" s="106">
        <f>ROUND(AVERAGE(5-4*(Y30)/(Y9)),1)</f>
        <v>2</v>
      </c>
      <c r="AA30" s="108">
        <f t="shared" si="9"/>
        <v>0.3</v>
      </c>
      <c r="AB30" s="98">
        <v>22.5</v>
      </c>
      <c r="AC30" s="106">
        <f t="shared" si="10"/>
        <v>1.6666666666666665</v>
      </c>
      <c r="AD30" s="108">
        <f t="shared" si="11"/>
        <v>0.16666666666666666</v>
      </c>
      <c r="AE30" s="86">
        <v>19</v>
      </c>
      <c r="AF30" s="107">
        <f t="shared" si="12"/>
        <v>3.9</v>
      </c>
      <c r="AG30" s="108">
        <f t="shared" si="13"/>
        <v>1.17</v>
      </c>
      <c r="AH30" s="96">
        <v>6</v>
      </c>
      <c r="AI30" s="93">
        <v>33</v>
      </c>
      <c r="AJ30" s="96">
        <f t="shared" si="14"/>
        <v>39</v>
      </c>
      <c r="AK30" s="106">
        <f>ROUND(AVERAGE(5-4*(AJ30)/(AJ9)),1)</f>
        <v>3.4</v>
      </c>
      <c r="AL30" s="108">
        <f t="shared" si="15"/>
        <v>0.51</v>
      </c>
      <c r="AM30" s="93">
        <v>33</v>
      </c>
      <c r="AN30" s="93">
        <v>34</v>
      </c>
      <c r="AO30" s="96">
        <f t="shared" si="16"/>
        <v>67</v>
      </c>
      <c r="AP30" s="106">
        <f>ROUND(AVERAGE(5-4*(AO30)/(AO9)),1)</f>
        <v>2.2999999999999998</v>
      </c>
      <c r="AQ30" s="158">
        <f t="shared" si="17"/>
        <v>0.34499999999999997</v>
      </c>
      <c r="AR30" s="93">
        <v>30</v>
      </c>
      <c r="AS30" s="93">
        <v>35</v>
      </c>
      <c r="AT30" s="96">
        <f t="shared" si="18"/>
        <v>65</v>
      </c>
      <c r="AU30" s="148">
        <f>ROUND(AVERAGE(5-4*(AT30)/(AT9)),1)</f>
        <v>2.4</v>
      </c>
      <c r="AV30" s="149">
        <f t="shared" si="19"/>
        <v>0.36</v>
      </c>
      <c r="AW30" s="93">
        <v>80</v>
      </c>
      <c r="AX30" s="93">
        <v>82</v>
      </c>
      <c r="AY30" s="93">
        <v>89</v>
      </c>
      <c r="AZ30" s="93">
        <f t="shared" si="27"/>
        <v>251</v>
      </c>
      <c r="BA30" s="148">
        <f>ROUND(AVERAGE(5-4*(AZ30)/(AZ9)),1)</f>
        <v>1.7</v>
      </c>
      <c r="BB30" s="149">
        <f t="shared" si="21"/>
        <v>0.255</v>
      </c>
      <c r="BC30" s="165">
        <v>27</v>
      </c>
      <c r="BD30" s="148">
        <f>5-(4*BC30/BC9)</f>
        <v>1</v>
      </c>
      <c r="BE30" s="149">
        <f t="shared" si="22"/>
        <v>0.1</v>
      </c>
      <c r="BF30" s="81">
        <v>37</v>
      </c>
      <c r="BG30" s="157">
        <f>ROUND(AVERAGE(5-4*(BF30)/(BF9)),1)</f>
        <v>2.9</v>
      </c>
      <c r="BH30" s="149">
        <f t="shared" si="23"/>
        <v>0.87</v>
      </c>
      <c r="BI30" s="165">
        <f t="shared" si="24"/>
        <v>2.9116666666666671</v>
      </c>
      <c r="BJ30" s="165">
        <f t="shared" si="25"/>
        <v>2.44</v>
      </c>
      <c r="BK30" s="165">
        <v>2.6</v>
      </c>
      <c r="BL30" s="81" t="s">
        <v>91</v>
      </c>
    </row>
    <row r="31" spans="1:64" s="20" customFormat="1" ht="15" customHeight="1" x14ac:dyDescent="0.3">
      <c r="A31" s="272">
        <v>21</v>
      </c>
      <c r="B31" s="273" t="s">
        <v>355</v>
      </c>
      <c r="C31" s="237" t="s">
        <v>356</v>
      </c>
      <c r="D31" s="86">
        <v>19</v>
      </c>
      <c r="E31" s="86">
        <v>16</v>
      </c>
      <c r="F31" s="93">
        <f t="shared" si="1"/>
        <v>35</v>
      </c>
      <c r="G31" s="266">
        <f>ROUND(AVERAGE(5-4*(F31)/(F9)),1)</f>
        <v>3.6</v>
      </c>
      <c r="H31" s="108">
        <f t="shared" si="28"/>
        <v>0.54</v>
      </c>
      <c r="I31" s="78">
        <v>30</v>
      </c>
      <c r="J31" s="305">
        <f t="shared" si="29"/>
        <v>1</v>
      </c>
      <c r="K31" s="78">
        <v>38</v>
      </c>
      <c r="L31" s="78">
        <v>25</v>
      </c>
      <c r="M31" s="81">
        <f t="shared" si="4"/>
        <v>63</v>
      </c>
      <c r="N31" s="266">
        <f>ROUND(AVERAGE(5-4*(M31)/(M9)),1)</f>
        <v>2.5</v>
      </c>
      <c r="O31" s="108">
        <f t="shared" si="5"/>
        <v>0.375</v>
      </c>
      <c r="P31" s="306" t="e">
        <f>ROUND(5-4*#REF!/10,1)</f>
        <v>#REF!</v>
      </c>
      <c r="Q31" s="307"/>
      <c r="R31" s="86">
        <v>40</v>
      </c>
      <c r="S31" s="86">
        <v>25</v>
      </c>
      <c r="T31" s="93">
        <f t="shared" si="6"/>
        <v>65</v>
      </c>
      <c r="U31" s="106">
        <f>ROUND(AVERAGE(5-4*(T31)/(T9)),1)</f>
        <v>2.4</v>
      </c>
      <c r="V31" s="108">
        <f t="shared" si="7"/>
        <v>0.36</v>
      </c>
      <c r="W31" s="86">
        <v>75</v>
      </c>
      <c r="X31" s="95">
        <v>75</v>
      </c>
      <c r="Y31" s="96">
        <f t="shared" si="8"/>
        <v>150</v>
      </c>
      <c r="Z31" s="106">
        <f>ROUND(AVERAGE(5-4*(Y31)/(Y9)),1)</f>
        <v>2</v>
      </c>
      <c r="AA31" s="108">
        <f t="shared" si="9"/>
        <v>0.3</v>
      </c>
      <c r="AB31" s="98">
        <v>27</v>
      </c>
      <c r="AC31" s="106">
        <f t="shared" si="10"/>
        <v>1</v>
      </c>
      <c r="AD31" s="108">
        <f t="shared" si="11"/>
        <v>0.1</v>
      </c>
      <c r="AE31" s="86">
        <v>17</v>
      </c>
      <c r="AF31" s="107">
        <f t="shared" si="12"/>
        <v>4</v>
      </c>
      <c r="AG31" s="108">
        <f t="shared" si="13"/>
        <v>1.2</v>
      </c>
      <c r="AH31" s="96">
        <v>22</v>
      </c>
      <c r="AI31" s="93">
        <v>26</v>
      </c>
      <c r="AJ31" s="96">
        <f t="shared" si="14"/>
        <v>48</v>
      </c>
      <c r="AK31" s="106">
        <f>ROUND(AVERAGE(5-4*(AJ31)/(AJ9)),1)</f>
        <v>3.1</v>
      </c>
      <c r="AL31" s="108">
        <f t="shared" si="15"/>
        <v>0.46499999999999997</v>
      </c>
      <c r="AM31" s="93">
        <v>32</v>
      </c>
      <c r="AN31" s="93">
        <v>32</v>
      </c>
      <c r="AO31" s="96">
        <f t="shared" si="16"/>
        <v>64</v>
      </c>
      <c r="AP31" s="106">
        <f>ROUND(AVERAGE(5-4*(AO31)/(AO9)),1)</f>
        <v>2.4</v>
      </c>
      <c r="AQ31" s="158">
        <f t="shared" si="17"/>
        <v>0.36</v>
      </c>
      <c r="AR31" s="93">
        <v>30</v>
      </c>
      <c r="AS31" s="93">
        <v>38</v>
      </c>
      <c r="AT31" s="96">
        <f t="shared" si="18"/>
        <v>68</v>
      </c>
      <c r="AU31" s="148">
        <f>ROUND(AVERAGE(5-4*(AT31)/(AT9)),1)</f>
        <v>2.2999999999999998</v>
      </c>
      <c r="AV31" s="149">
        <f t="shared" si="19"/>
        <v>0.34499999999999997</v>
      </c>
      <c r="AW31" s="93">
        <v>85</v>
      </c>
      <c r="AX31" s="93">
        <v>85</v>
      </c>
      <c r="AY31" s="93">
        <v>95</v>
      </c>
      <c r="AZ31" s="93">
        <f t="shared" si="27"/>
        <v>265</v>
      </c>
      <c r="BA31" s="148">
        <f>ROUND(AVERAGE(5-4*(AZ31)/(AZ9)),1)</f>
        <v>1.5</v>
      </c>
      <c r="BB31" s="149">
        <f t="shared" si="21"/>
        <v>0.22499999999999998</v>
      </c>
      <c r="BC31" s="165">
        <v>27</v>
      </c>
      <c r="BD31" s="148">
        <f>5-(4*BC31/BC9)</f>
        <v>1</v>
      </c>
      <c r="BE31" s="149">
        <f t="shared" si="22"/>
        <v>0.1</v>
      </c>
      <c r="BF31" s="81">
        <v>21</v>
      </c>
      <c r="BG31" s="157">
        <f>ROUND(AVERAGE(5-4*(BF31)/(BF9)),1)</f>
        <v>3.8</v>
      </c>
      <c r="BH31" s="149">
        <f t="shared" si="23"/>
        <v>1.1399999999999999</v>
      </c>
      <c r="BI31" s="165">
        <f t="shared" si="24"/>
        <v>2.875</v>
      </c>
      <c r="BJ31" s="165">
        <f t="shared" si="25"/>
        <v>2.6349999999999998</v>
      </c>
      <c r="BK31" s="165">
        <v>2.7</v>
      </c>
      <c r="BL31" s="81" t="s">
        <v>91</v>
      </c>
    </row>
    <row r="32" spans="1:64" s="20" customFormat="1" ht="15.75" customHeight="1" x14ac:dyDescent="0.3">
      <c r="A32" s="272">
        <v>22</v>
      </c>
      <c r="B32" s="273" t="s">
        <v>357</v>
      </c>
      <c r="C32" s="237" t="s">
        <v>358</v>
      </c>
      <c r="D32" s="86">
        <v>32</v>
      </c>
      <c r="E32" s="86">
        <v>28</v>
      </c>
      <c r="F32" s="93">
        <f t="shared" si="1"/>
        <v>60</v>
      </c>
      <c r="G32" s="266">
        <f>ROUND(AVERAGE(5-4*(F32)/(F9)),1)</f>
        <v>2.6</v>
      </c>
      <c r="H32" s="108">
        <f t="shared" si="28"/>
        <v>0.39</v>
      </c>
      <c r="I32" s="78">
        <v>25</v>
      </c>
      <c r="J32" s="305">
        <f t="shared" si="29"/>
        <v>1.7</v>
      </c>
      <c r="K32" s="78">
        <v>39</v>
      </c>
      <c r="L32" s="78">
        <v>33</v>
      </c>
      <c r="M32" s="81">
        <f t="shared" si="4"/>
        <v>72</v>
      </c>
      <c r="N32" s="266">
        <f>ROUND(AVERAGE(5-4*(M32)/(M9)),1)</f>
        <v>2.1</v>
      </c>
      <c r="O32" s="108">
        <f t="shared" si="5"/>
        <v>0.315</v>
      </c>
      <c r="P32" s="306" t="e">
        <f>ROUND(5-4*#REF!/10,1)</f>
        <v>#REF!</v>
      </c>
      <c r="Q32" s="307"/>
      <c r="R32" s="86">
        <v>38</v>
      </c>
      <c r="S32" s="86">
        <v>30</v>
      </c>
      <c r="T32" s="93">
        <f t="shared" si="6"/>
        <v>68</v>
      </c>
      <c r="U32" s="106">
        <f>ROUND(AVERAGE(5-4*(T32)/(T9)),1)</f>
        <v>2.2999999999999998</v>
      </c>
      <c r="V32" s="108">
        <f t="shared" si="7"/>
        <v>0.34499999999999997</v>
      </c>
      <c r="W32" s="86">
        <v>80</v>
      </c>
      <c r="X32" s="95">
        <v>83</v>
      </c>
      <c r="Y32" s="96">
        <f t="shared" si="8"/>
        <v>163</v>
      </c>
      <c r="Z32" s="106">
        <f>ROUND(AVERAGE(5-4*(Y32)/(Y9)),1)</f>
        <v>1.7</v>
      </c>
      <c r="AA32" s="108">
        <f t="shared" si="9"/>
        <v>0.255</v>
      </c>
      <c r="AB32" s="98">
        <v>27</v>
      </c>
      <c r="AC32" s="106">
        <f t="shared" si="10"/>
        <v>1</v>
      </c>
      <c r="AD32" s="108">
        <f t="shared" si="11"/>
        <v>0.1</v>
      </c>
      <c r="AE32" s="86">
        <v>18</v>
      </c>
      <c r="AF32" s="107">
        <f t="shared" si="12"/>
        <v>4</v>
      </c>
      <c r="AG32" s="108">
        <f t="shared" si="13"/>
        <v>1.2</v>
      </c>
      <c r="AH32" s="96">
        <v>25</v>
      </c>
      <c r="AI32" s="93">
        <v>26</v>
      </c>
      <c r="AJ32" s="96">
        <f t="shared" si="14"/>
        <v>51</v>
      </c>
      <c r="AK32" s="106">
        <f>ROUND(AVERAGE(5-4*(AJ32)/(AJ9)),1)</f>
        <v>3</v>
      </c>
      <c r="AL32" s="108">
        <f t="shared" si="15"/>
        <v>0.44999999999999996</v>
      </c>
      <c r="AM32" s="93">
        <v>31</v>
      </c>
      <c r="AN32" s="93">
        <v>45</v>
      </c>
      <c r="AO32" s="96">
        <f t="shared" si="16"/>
        <v>76</v>
      </c>
      <c r="AP32" s="106">
        <f>ROUND(AVERAGE(5-4*(AO32)/(AO9)),1)</f>
        <v>2</v>
      </c>
      <c r="AQ32" s="158">
        <f t="shared" si="17"/>
        <v>0.3</v>
      </c>
      <c r="AR32" s="93">
        <v>30</v>
      </c>
      <c r="AS32" s="93">
        <v>33</v>
      </c>
      <c r="AT32" s="96">
        <f t="shared" si="18"/>
        <v>63</v>
      </c>
      <c r="AU32" s="148">
        <f>ROUND(AVERAGE(5-4*(AT32)/(AT9)),1)</f>
        <v>2.5</v>
      </c>
      <c r="AV32" s="149">
        <f>AU32*0.15</f>
        <v>0.375</v>
      </c>
      <c r="AW32" s="93">
        <v>80</v>
      </c>
      <c r="AX32" s="93">
        <v>85</v>
      </c>
      <c r="AY32" s="93">
        <v>87</v>
      </c>
      <c r="AZ32" s="93">
        <f t="shared" si="27"/>
        <v>252</v>
      </c>
      <c r="BA32" s="148">
        <f>ROUND(AVERAGE(5-4*(AZ32)/(AZ9)),1)</f>
        <v>1.6</v>
      </c>
      <c r="BB32" s="149">
        <f t="shared" si="21"/>
        <v>0.24</v>
      </c>
      <c r="BC32" s="165">
        <v>27</v>
      </c>
      <c r="BD32" s="148">
        <f>5-(4*BC32/BC9)</f>
        <v>1</v>
      </c>
      <c r="BE32" s="149">
        <f t="shared" si="22"/>
        <v>0.1</v>
      </c>
      <c r="BF32" s="81">
        <v>41</v>
      </c>
      <c r="BG32" s="157">
        <f>ROUND(AVERAGE(5-4*(BF32)/(BF9)),1)</f>
        <v>2.7</v>
      </c>
      <c r="BH32" s="149">
        <f t="shared" si="23"/>
        <v>0.81</v>
      </c>
      <c r="BI32" s="165">
        <f t="shared" si="24"/>
        <v>2.6050000000000004</v>
      </c>
      <c r="BJ32" s="165">
        <f t="shared" si="25"/>
        <v>2.2750000000000004</v>
      </c>
      <c r="BK32" s="165">
        <f t="shared" si="26"/>
        <v>2.4400000000000004</v>
      </c>
      <c r="BL32" s="81" t="s">
        <v>91</v>
      </c>
    </row>
    <row r="33" spans="1:64" s="20" customFormat="1" ht="15" customHeight="1" x14ac:dyDescent="0.3">
      <c r="A33" s="272">
        <v>23</v>
      </c>
      <c r="B33" s="273" t="s">
        <v>359</v>
      </c>
      <c r="C33" s="237" t="s">
        <v>360</v>
      </c>
      <c r="D33" s="202">
        <v>12</v>
      </c>
      <c r="E33" s="202">
        <v>34</v>
      </c>
      <c r="F33" s="207">
        <f t="shared" si="1"/>
        <v>46</v>
      </c>
      <c r="G33" s="267">
        <f>ROUND(AVERAGE(5-4*(F33)/(F9)),1)</f>
        <v>3.2</v>
      </c>
      <c r="H33" s="212">
        <f t="shared" si="28"/>
        <v>0.48</v>
      </c>
      <c r="I33" s="205">
        <v>30</v>
      </c>
      <c r="J33" s="310">
        <f t="shared" si="29"/>
        <v>1</v>
      </c>
      <c r="K33" s="205">
        <v>45</v>
      </c>
      <c r="L33" s="205">
        <v>35</v>
      </c>
      <c r="M33" s="206">
        <f t="shared" si="4"/>
        <v>80</v>
      </c>
      <c r="N33" s="267">
        <f>ROUND(AVERAGE(5-4*(M33)/(M9)),1)</f>
        <v>1.8</v>
      </c>
      <c r="O33" s="212">
        <f t="shared" si="5"/>
        <v>0.27</v>
      </c>
      <c r="P33" s="311" t="e">
        <f>ROUND(5-4*#REF!/10,1)</f>
        <v>#REF!</v>
      </c>
      <c r="Q33" s="312"/>
      <c r="R33" s="202">
        <v>37</v>
      </c>
      <c r="S33" s="202">
        <v>30</v>
      </c>
      <c r="T33" s="207">
        <f t="shared" si="6"/>
        <v>67</v>
      </c>
      <c r="U33" s="209">
        <f>ROUND(AVERAGE(5-4*(T33)/(T9)),1)</f>
        <v>2.2999999999999998</v>
      </c>
      <c r="V33" s="212">
        <f t="shared" si="7"/>
        <v>0.34499999999999997</v>
      </c>
      <c r="W33" s="202">
        <v>70</v>
      </c>
      <c r="X33" s="208">
        <v>75</v>
      </c>
      <c r="Y33" s="96">
        <f t="shared" si="8"/>
        <v>145</v>
      </c>
      <c r="Z33" s="209">
        <f>ROUND(AVERAGE(5-4*(Y33)/(Y9)),1)</f>
        <v>2.1</v>
      </c>
      <c r="AA33" s="212">
        <f t="shared" si="9"/>
        <v>0.315</v>
      </c>
      <c r="AB33" s="218">
        <v>27</v>
      </c>
      <c r="AC33" s="209">
        <f t="shared" si="10"/>
        <v>1</v>
      </c>
      <c r="AD33" s="212">
        <f t="shared" si="11"/>
        <v>0.1</v>
      </c>
      <c r="AE33" s="202">
        <v>25</v>
      </c>
      <c r="AF33" s="211">
        <f t="shared" si="12"/>
        <v>3.6</v>
      </c>
      <c r="AG33" s="212">
        <f t="shared" si="13"/>
        <v>1.08</v>
      </c>
      <c r="AH33" s="203">
        <v>22</v>
      </c>
      <c r="AI33" s="207">
        <v>27</v>
      </c>
      <c r="AJ33" s="96">
        <f t="shared" si="14"/>
        <v>49</v>
      </c>
      <c r="AK33" s="209">
        <f>ROUND(AVERAGE(5-4*(AJ33)/(AJ9)),1)</f>
        <v>3</v>
      </c>
      <c r="AL33" s="212">
        <f t="shared" si="15"/>
        <v>0.44999999999999996</v>
      </c>
      <c r="AM33" s="207">
        <v>30</v>
      </c>
      <c r="AN33" s="207">
        <v>35</v>
      </c>
      <c r="AO33" s="96">
        <f t="shared" si="16"/>
        <v>65</v>
      </c>
      <c r="AP33" s="209">
        <f>ROUND(AVERAGE(5-4*(AO33)/(AO9)),1)</f>
        <v>2.4</v>
      </c>
      <c r="AQ33" s="215">
        <f t="shared" si="17"/>
        <v>0.36</v>
      </c>
      <c r="AR33" s="207">
        <v>30</v>
      </c>
      <c r="AS33" s="207">
        <v>35</v>
      </c>
      <c r="AT33" s="96">
        <f t="shared" si="18"/>
        <v>65</v>
      </c>
      <c r="AU33" s="213">
        <f>ROUND(AVERAGE(5-4*(AT33)/(AT9)),1)</f>
        <v>2.4</v>
      </c>
      <c r="AV33" s="214">
        <f t="shared" si="19"/>
        <v>0.36</v>
      </c>
      <c r="AW33" s="207">
        <v>87</v>
      </c>
      <c r="AX33" s="207">
        <v>89</v>
      </c>
      <c r="AY33" s="207">
        <v>95</v>
      </c>
      <c r="AZ33" s="93">
        <f t="shared" si="27"/>
        <v>271</v>
      </c>
      <c r="BA33" s="213">
        <f>ROUND(AVERAGE(5-4*(AZ33)/(AZ9)),1)</f>
        <v>1.4</v>
      </c>
      <c r="BB33" s="214">
        <f t="shared" si="21"/>
        <v>0.21</v>
      </c>
      <c r="BC33" s="165">
        <v>27</v>
      </c>
      <c r="BD33" s="213">
        <f>5-(4*BC33/BC9)</f>
        <v>1</v>
      </c>
      <c r="BE33" s="214">
        <f t="shared" si="22"/>
        <v>0.1</v>
      </c>
      <c r="BF33" s="206">
        <v>38</v>
      </c>
      <c r="BG33" s="157">
        <f>ROUND(AVERAGE(5-4*(BF33)/(BF9)),1)</f>
        <v>2.8</v>
      </c>
      <c r="BH33" s="149">
        <f t="shared" si="23"/>
        <v>0.84</v>
      </c>
      <c r="BI33" s="165">
        <f t="shared" si="24"/>
        <v>2.59</v>
      </c>
      <c r="BJ33" s="165">
        <f t="shared" si="25"/>
        <v>2.3199999999999998</v>
      </c>
      <c r="BK33" s="165">
        <v>2.4</v>
      </c>
      <c r="BL33" s="81" t="s">
        <v>91</v>
      </c>
    </row>
    <row r="34" spans="1:64" s="20" customFormat="1" ht="15" customHeight="1" x14ac:dyDescent="0.3">
      <c r="A34" s="272">
        <v>24</v>
      </c>
      <c r="B34" s="273" t="s">
        <v>361</v>
      </c>
      <c r="C34" s="237" t="s">
        <v>362</v>
      </c>
      <c r="D34" s="202">
        <v>14</v>
      </c>
      <c r="E34" s="202">
        <v>30</v>
      </c>
      <c r="F34" s="207">
        <f t="shared" si="1"/>
        <v>44</v>
      </c>
      <c r="G34" s="267">
        <f>ROUND(AVERAGE(5-4*(F34)/(F9)),1)</f>
        <v>3.2</v>
      </c>
      <c r="H34" s="212">
        <f t="shared" si="28"/>
        <v>0.48</v>
      </c>
      <c r="I34" s="205">
        <v>26</v>
      </c>
      <c r="J34" s="310">
        <f t="shared" si="29"/>
        <v>1.5</v>
      </c>
      <c r="K34" s="205">
        <v>36</v>
      </c>
      <c r="L34" s="205">
        <v>30</v>
      </c>
      <c r="M34" s="206">
        <f t="shared" si="4"/>
        <v>66</v>
      </c>
      <c r="N34" s="267">
        <f>ROUND(AVERAGE(5-4*(M34)/(M9)),1)</f>
        <v>2.4</v>
      </c>
      <c r="O34" s="212">
        <f t="shared" si="5"/>
        <v>0.36</v>
      </c>
      <c r="P34" s="311" t="e">
        <f>ROUND(5-4*#REF!/10,1)</f>
        <v>#REF!</v>
      </c>
      <c r="Q34" s="312"/>
      <c r="R34" s="202">
        <v>31</v>
      </c>
      <c r="S34" s="202">
        <v>25</v>
      </c>
      <c r="T34" s="207">
        <f t="shared" si="6"/>
        <v>56</v>
      </c>
      <c r="U34" s="209">
        <f>ROUND(AVERAGE(5-4*(T34)/(T9)),1)</f>
        <v>2.8</v>
      </c>
      <c r="V34" s="212">
        <f t="shared" si="7"/>
        <v>0.42</v>
      </c>
      <c r="W34" s="202">
        <v>78</v>
      </c>
      <c r="X34" s="208">
        <v>85</v>
      </c>
      <c r="Y34" s="96">
        <f t="shared" si="8"/>
        <v>163</v>
      </c>
      <c r="Z34" s="209">
        <f>ROUND(AVERAGE(5-4*(Y34)/(Y9)),1)</f>
        <v>1.7</v>
      </c>
      <c r="AA34" s="212">
        <f t="shared" si="9"/>
        <v>0.255</v>
      </c>
      <c r="AB34" s="218">
        <v>27</v>
      </c>
      <c r="AC34" s="209">
        <f t="shared" si="10"/>
        <v>1</v>
      </c>
      <c r="AD34" s="212">
        <f>AC34*0.1</f>
        <v>0.1</v>
      </c>
      <c r="AE34" s="202">
        <v>21</v>
      </c>
      <c r="AF34" s="211">
        <f t="shared" si="12"/>
        <v>3.8</v>
      </c>
      <c r="AG34" s="212">
        <f>AF34*0.3</f>
        <v>1.1399999999999999</v>
      </c>
      <c r="AH34" s="203">
        <v>28</v>
      </c>
      <c r="AI34" s="207">
        <v>17</v>
      </c>
      <c r="AJ34" s="96">
        <f t="shared" si="14"/>
        <v>45</v>
      </c>
      <c r="AK34" s="209">
        <f>ROUND(AVERAGE(5-4*(AJ34)/(AJ9)),1)</f>
        <v>3.2</v>
      </c>
      <c r="AL34" s="212">
        <f t="shared" si="15"/>
        <v>0.48</v>
      </c>
      <c r="AM34" s="207">
        <v>30</v>
      </c>
      <c r="AN34" s="207">
        <v>32</v>
      </c>
      <c r="AO34" s="96">
        <f t="shared" si="16"/>
        <v>62</v>
      </c>
      <c r="AP34" s="209">
        <f>ROUND(AVERAGE(5-4*(AO34)/(AO9)),1)</f>
        <v>2.5</v>
      </c>
      <c r="AQ34" s="215">
        <f t="shared" si="17"/>
        <v>0.375</v>
      </c>
      <c r="AR34" s="207">
        <v>33</v>
      </c>
      <c r="AS34" s="207">
        <v>35</v>
      </c>
      <c r="AT34" s="96">
        <f t="shared" si="18"/>
        <v>68</v>
      </c>
      <c r="AU34" s="213">
        <f>ROUND(AVERAGE(5-4*(AT34)/(AT9)),1)</f>
        <v>2.2999999999999998</v>
      </c>
      <c r="AV34" s="214">
        <f t="shared" si="19"/>
        <v>0.34499999999999997</v>
      </c>
      <c r="AW34" s="207">
        <v>80</v>
      </c>
      <c r="AX34" s="207">
        <v>82</v>
      </c>
      <c r="AY34" s="207">
        <v>90</v>
      </c>
      <c r="AZ34" s="207">
        <f t="shared" si="27"/>
        <v>252</v>
      </c>
      <c r="BA34" s="213">
        <f>ROUND(AVERAGE(5-4*(AZ34)/(AZ9)),1)</f>
        <v>1.6</v>
      </c>
      <c r="BB34" s="214">
        <f t="shared" si="21"/>
        <v>0.24</v>
      </c>
      <c r="BC34" s="165">
        <v>27</v>
      </c>
      <c r="BD34" s="213">
        <f>5-(4*BC34/BC9)</f>
        <v>1</v>
      </c>
      <c r="BE34" s="214">
        <f t="shared" si="22"/>
        <v>0.1</v>
      </c>
      <c r="BF34" s="206">
        <v>42</v>
      </c>
      <c r="BG34" s="157">
        <f>ROUND(AVERAGE(5-4*(BF34)/(BF9)),1)</f>
        <v>2.6</v>
      </c>
      <c r="BH34" s="149">
        <f t="shared" si="23"/>
        <v>0.78</v>
      </c>
      <c r="BI34" s="165">
        <f t="shared" si="24"/>
        <v>2.7549999999999999</v>
      </c>
      <c r="BJ34" s="216">
        <f t="shared" si="25"/>
        <v>2.3200000000000003</v>
      </c>
      <c r="BK34" s="165">
        <f t="shared" si="26"/>
        <v>2.5375000000000001</v>
      </c>
      <c r="BL34" s="81" t="s">
        <v>91</v>
      </c>
    </row>
    <row r="35" spans="1:64" s="20" customFormat="1" ht="15" customHeight="1" x14ac:dyDescent="0.3">
      <c r="A35" s="272">
        <v>25</v>
      </c>
      <c r="B35" s="273" t="s">
        <v>363</v>
      </c>
      <c r="C35" s="237" t="s">
        <v>364</v>
      </c>
      <c r="D35" s="202">
        <v>10</v>
      </c>
      <c r="E35" s="202">
        <v>25</v>
      </c>
      <c r="F35" s="207">
        <f t="shared" si="1"/>
        <v>35</v>
      </c>
      <c r="G35" s="267">
        <f>ROUND(AVERAGE(5-4*(F35)/(F9)),1)</f>
        <v>3.6</v>
      </c>
      <c r="H35" s="212">
        <f t="shared" si="28"/>
        <v>0.54</v>
      </c>
      <c r="I35" s="205">
        <v>25</v>
      </c>
      <c r="J35" s="310">
        <f t="shared" si="29"/>
        <v>1.7</v>
      </c>
      <c r="K35" s="205">
        <v>31</v>
      </c>
      <c r="L35" s="205">
        <v>30</v>
      </c>
      <c r="M35" s="206">
        <f t="shared" si="4"/>
        <v>61</v>
      </c>
      <c r="N35" s="267">
        <f>ROUND(AVERAGE(5-4*(M35)/(M9)),1)</f>
        <v>2.6</v>
      </c>
      <c r="O35" s="212">
        <f t="shared" si="5"/>
        <v>0.39</v>
      </c>
      <c r="P35" s="311" t="e">
        <f>ROUND(5-4*#REF!/10,1)</f>
        <v>#REF!</v>
      </c>
      <c r="Q35" s="312"/>
      <c r="R35" s="202">
        <v>38</v>
      </c>
      <c r="S35" s="202">
        <v>25</v>
      </c>
      <c r="T35" s="207">
        <f t="shared" si="6"/>
        <v>63</v>
      </c>
      <c r="U35" s="209">
        <f>ROUND(AVERAGE(5-4*(T35)/(T9)),1)</f>
        <v>2.5</v>
      </c>
      <c r="V35" s="212">
        <f t="shared" si="7"/>
        <v>0.375</v>
      </c>
      <c r="W35" s="202">
        <v>75</v>
      </c>
      <c r="X35" s="208">
        <v>80</v>
      </c>
      <c r="Y35" s="96">
        <f t="shared" si="8"/>
        <v>155</v>
      </c>
      <c r="Z35" s="209">
        <f>ROUND(AVERAGE(5-4*(Y35)/(Y9)),1)</f>
        <v>1.9</v>
      </c>
      <c r="AA35" s="212">
        <f t="shared" si="9"/>
        <v>0.28499999999999998</v>
      </c>
      <c r="AB35" s="218">
        <v>27</v>
      </c>
      <c r="AC35" s="209">
        <f t="shared" si="10"/>
        <v>1</v>
      </c>
      <c r="AD35" s="212">
        <f t="shared" si="11"/>
        <v>0.1</v>
      </c>
      <c r="AE35" s="202">
        <v>19</v>
      </c>
      <c r="AF35" s="211">
        <f t="shared" si="12"/>
        <v>3.9</v>
      </c>
      <c r="AG35" s="212">
        <f t="shared" si="13"/>
        <v>1.17</v>
      </c>
      <c r="AH35" s="203">
        <v>26</v>
      </c>
      <c r="AI35" s="207">
        <v>30</v>
      </c>
      <c r="AJ35" s="96">
        <f t="shared" si="14"/>
        <v>56</v>
      </c>
      <c r="AK35" s="209">
        <f>ROUND(AVERAGE(5-4*(AJ35)/(AJ9)),1)</f>
        <v>2.8</v>
      </c>
      <c r="AL35" s="212">
        <f t="shared" si="15"/>
        <v>0.42</v>
      </c>
      <c r="AM35" s="207">
        <v>28</v>
      </c>
      <c r="AN35" s="207">
        <v>30</v>
      </c>
      <c r="AO35" s="96">
        <f t="shared" si="16"/>
        <v>58</v>
      </c>
      <c r="AP35" s="209">
        <f>ROUND(AVERAGE(5-4*(AO35)/(AO9)),1)</f>
        <v>2.7</v>
      </c>
      <c r="AQ35" s="215">
        <f t="shared" si="17"/>
        <v>0.40500000000000003</v>
      </c>
      <c r="AR35" s="207">
        <v>30</v>
      </c>
      <c r="AS35" s="207">
        <v>38</v>
      </c>
      <c r="AT35" s="96">
        <f t="shared" si="18"/>
        <v>68</v>
      </c>
      <c r="AU35" s="213">
        <f>ROUND(AVERAGE(5-4*(AT35)/(AT9)),1)</f>
        <v>2.2999999999999998</v>
      </c>
      <c r="AV35" s="214">
        <f t="shared" si="19"/>
        <v>0.34499999999999997</v>
      </c>
      <c r="AW35" s="207">
        <v>88</v>
      </c>
      <c r="AX35" s="207">
        <v>90</v>
      </c>
      <c r="AY35" s="207">
        <v>95</v>
      </c>
      <c r="AZ35" s="207">
        <f t="shared" si="27"/>
        <v>273</v>
      </c>
      <c r="BA35" s="213">
        <f>ROUND(AVERAGE(5-4*(AZ35)/(AZ9)),1)</f>
        <v>1.4</v>
      </c>
      <c r="BB35" s="214">
        <f t="shared" si="21"/>
        <v>0.21</v>
      </c>
      <c r="BC35" s="165">
        <v>27</v>
      </c>
      <c r="BD35" s="213">
        <f>5-(4*BC35/BC9)</f>
        <v>1</v>
      </c>
      <c r="BE35" s="214">
        <f t="shared" si="22"/>
        <v>0.1</v>
      </c>
      <c r="BF35" s="206">
        <v>38</v>
      </c>
      <c r="BG35" s="157">
        <f>ROUND(AVERAGE(5-4*(BF35)/(BF9)),1)</f>
        <v>2.8</v>
      </c>
      <c r="BH35" s="149">
        <f t="shared" si="23"/>
        <v>0.84</v>
      </c>
      <c r="BI35" s="165">
        <f t="shared" si="24"/>
        <v>2.8600000000000003</v>
      </c>
      <c r="BJ35" s="216">
        <f t="shared" si="25"/>
        <v>2.3199999999999998</v>
      </c>
      <c r="BK35" s="165">
        <f t="shared" si="26"/>
        <v>2.59</v>
      </c>
      <c r="BL35" s="81" t="s">
        <v>91</v>
      </c>
    </row>
    <row r="36" spans="1:64" s="20" customFormat="1" ht="15" customHeight="1" x14ac:dyDescent="0.3">
      <c r="A36" s="272">
        <v>26</v>
      </c>
      <c r="B36" s="273" t="s">
        <v>365</v>
      </c>
      <c r="C36" s="237" t="s">
        <v>366</v>
      </c>
      <c r="D36" s="202">
        <v>30</v>
      </c>
      <c r="E36" s="202">
        <v>27</v>
      </c>
      <c r="F36" s="207">
        <f>SUM(D36+E36)</f>
        <v>57</v>
      </c>
      <c r="G36" s="267">
        <f>ROUND(AVERAGE(5-4*(F36)/(F9)),1)</f>
        <v>2.7</v>
      </c>
      <c r="H36" s="212">
        <f t="shared" si="28"/>
        <v>0.40500000000000003</v>
      </c>
      <c r="I36" s="205">
        <v>26</v>
      </c>
      <c r="J36" s="310">
        <f t="shared" si="29"/>
        <v>1.5</v>
      </c>
      <c r="K36" s="205">
        <v>38</v>
      </c>
      <c r="L36" s="205">
        <v>33</v>
      </c>
      <c r="M36" s="206">
        <f t="shared" si="4"/>
        <v>71</v>
      </c>
      <c r="N36" s="267">
        <f>ROUND(AVERAGE(5-4*(M36)/(M9)),1)</f>
        <v>2.2000000000000002</v>
      </c>
      <c r="O36" s="212">
        <f t="shared" si="5"/>
        <v>0.33</v>
      </c>
      <c r="P36" s="311" t="e">
        <f>ROUND(5-4*#REF!/10,1)</f>
        <v>#REF!</v>
      </c>
      <c r="Q36" s="312"/>
      <c r="R36" s="202">
        <v>33</v>
      </c>
      <c r="S36" s="202">
        <v>31</v>
      </c>
      <c r="T36" s="207">
        <f t="shared" si="6"/>
        <v>64</v>
      </c>
      <c r="U36" s="209">
        <f>ROUND(AVERAGE(5-4*(T36)/(T9)),1)</f>
        <v>2.4</v>
      </c>
      <c r="V36" s="212">
        <f t="shared" si="7"/>
        <v>0.36</v>
      </c>
      <c r="W36" s="202">
        <v>98</v>
      </c>
      <c r="X36" s="208">
        <v>90</v>
      </c>
      <c r="Y36" s="96">
        <f t="shared" si="8"/>
        <v>188</v>
      </c>
      <c r="Z36" s="209">
        <f>ROUND(AVERAGE(5-4*(Y36)/(Y9)),1)</f>
        <v>1.2</v>
      </c>
      <c r="AA36" s="212">
        <f>Z36*0.15</f>
        <v>0.18</v>
      </c>
      <c r="AB36" s="218">
        <v>24</v>
      </c>
      <c r="AC36" s="209">
        <f t="shared" si="10"/>
        <v>1.4444444444444446</v>
      </c>
      <c r="AD36" s="212">
        <f t="shared" si="11"/>
        <v>0.14444444444444446</v>
      </c>
      <c r="AE36" s="202">
        <v>27</v>
      </c>
      <c r="AF36" s="211">
        <f t="shared" si="12"/>
        <v>3.5</v>
      </c>
      <c r="AG36" s="212">
        <f t="shared" si="13"/>
        <v>1.05</v>
      </c>
      <c r="AH36" s="203">
        <v>20</v>
      </c>
      <c r="AI36" s="207">
        <v>26</v>
      </c>
      <c r="AJ36" s="96">
        <f t="shared" si="14"/>
        <v>46</v>
      </c>
      <c r="AK36" s="209">
        <f>ROUND(AVERAGE(5-4*(AJ36)/(AJ9)),1)</f>
        <v>3.2</v>
      </c>
      <c r="AL36" s="212">
        <f t="shared" si="15"/>
        <v>0.48</v>
      </c>
      <c r="AM36" s="207">
        <v>32</v>
      </c>
      <c r="AN36" s="207">
        <v>30</v>
      </c>
      <c r="AO36" s="96">
        <f t="shared" si="16"/>
        <v>62</v>
      </c>
      <c r="AP36" s="209">
        <f>ROUND(AVERAGE(5-4*(AO36)/(AO9)),1)</f>
        <v>2.5</v>
      </c>
      <c r="AQ36" s="215">
        <f t="shared" si="17"/>
        <v>0.375</v>
      </c>
      <c r="AR36" s="207">
        <v>31</v>
      </c>
      <c r="AS36" s="207">
        <v>40</v>
      </c>
      <c r="AT36" s="96">
        <f t="shared" si="18"/>
        <v>71</v>
      </c>
      <c r="AU36" s="213">
        <f>ROUND(AVERAGE(5-4*(AT36)/(AT9)),1)</f>
        <v>2.2000000000000002</v>
      </c>
      <c r="AV36" s="214">
        <f t="shared" si="19"/>
        <v>0.33</v>
      </c>
      <c r="AW36" s="207">
        <v>82</v>
      </c>
      <c r="AX36" s="207">
        <v>85</v>
      </c>
      <c r="AY36" s="207">
        <v>88</v>
      </c>
      <c r="AZ36" s="207">
        <f t="shared" si="27"/>
        <v>255</v>
      </c>
      <c r="BA36" s="213">
        <f>ROUND(AVERAGE(5-4*(AZ36)/(AZ9)),1)</f>
        <v>1.6</v>
      </c>
      <c r="BB36" s="214">
        <f t="shared" si="21"/>
        <v>0.24</v>
      </c>
      <c r="BC36" s="165">
        <v>27</v>
      </c>
      <c r="BD36" s="213">
        <f>5-(4*BC36/BC9)</f>
        <v>1</v>
      </c>
      <c r="BE36" s="214">
        <f t="shared" si="22"/>
        <v>0.1</v>
      </c>
      <c r="BF36" s="206">
        <v>53</v>
      </c>
      <c r="BG36" s="157">
        <f>ROUND(AVERAGE(5-4*(BF36)/(BF9)),1)</f>
        <v>2</v>
      </c>
      <c r="BH36" s="149">
        <f t="shared" si="23"/>
        <v>0.6</v>
      </c>
      <c r="BI36" s="165">
        <f t="shared" si="24"/>
        <v>2.4694444444444446</v>
      </c>
      <c r="BJ36" s="216">
        <f t="shared" si="25"/>
        <v>2.125</v>
      </c>
      <c r="BK36" s="165">
        <f t="shared" si="26"/>
        <v>2.2972222222222225</v>
      </c>
      <c r="BL36" s="81" t="s">
        <v>91</v>
      </c>
    </row>
    <row r="37" spans="1:64" s="20" customFormat="1" ht="15" customHeight="1" x14ac:dyDescent="0.3">
      <c r="A37" s="272">
        <v>27</v>
      </c>
      <c r="B37" s="273" t="s">
        <v>367</v>
      </c>
      <c r="C37" s="237" t="s">
        <v>368</v>
      </c>
      <c r="D37" s="202">
        <v>28</v>
      </c>
      <c r="E37" s="202">
        <v>23</v>
      </c>
      <c r="F37" s="207">
        <f t="shared" si="1"/>
        <v>51</v>
      </c>
      <c r="G37" s="267">
        <f>ROUND(AVERAGE(5-4*(F37)/(F9)),1)</f>
        <v>3</v>
      </c>
      <c r="H37" s="212">
        <f t="shared" si="28"/>
        <v>0.44999999999999996</v>
      </c>
      <c r="I37" s="205">
        <v>30</v>
      </c>
      <c r="J37" s="310">
        <f t="shared" si="29"/>
        <v>1</v>
      </c>
      <c r="K37" s="205">
        <v>45</v>
      </c>
      <c r="L37" s="205">
        <v>35</v>
      </c>
      <c r="M37" s="206">
        <f t="shared" si="4"/>
        <v>80</v>
      </c>
      <c r="N37" s="267">
        <f>ROUND(AVERAGE(5-4*(M37)/(M9)),1)</f>
        <v>1.8</v>
      </c>
      <c r="O37" s="212">
        <f t="shared" si="5"/>
        <v>0.27</v>
      </c>
      <c r="P37" s="311" t="e">
        <f>ROUND(5-4*#REF!/10,1)</f>
        <v>#REF!</v>
      </c>
      <c r="Q37" s="312"/>
      <c r="R37" s="202">
        <v>45</v>
      </c>
      <c r="S37" s="202">
        <v>38</v>
      </c>
      <c r="T37" s="207">
        <f>SUM(R37+S37)</f>
        <v>83</v>
      </c>
      <c r="U37" s="209">
        <f>ROUND(AVERAGE(5-4*(T37)/(T9)),1)</f>
        <v>1.7</v>
      </c>
      <c r="V37" s="212">
        <f>U37*0.15</f>
        <v>0.255</v>
      </c>
      <c r="W37" s="202">
        <v>94</v>
      </c>
      <c r="X37" s="208">
        <v>100</v>
      </c>
      <c r="Y37" s="96">
        <f t="shared" si="8"/>
        <v>194</v>
      </c>
      <c r="Z37" s="209">
        <f>ROUND(AVERAGE(5-4*(Y37)/(Y9)),1)</f>
        <v>1.1000000000000001</v>
      </c>
      <c r="AA37" s="212">
        <f t="shared" si="9"/>
        <v>0.16500000000000001</v>
      </c>
      <c r="AB37" s="218">
        <v>27</v>
      </c>
      <c r="AC37" s="209">
        <f t="shared" si="10"/>
        <v>1</v>
      </c>
      <c r="AD37" s="212">
        <f t="shared" si="11"/>
        <v>0.1</v>
      </c>
      <c r="AE37" s="202">
        <v>42</v>
      </c>
      <c r="AF37" s="211">
        <f>ROUND(AVERAGE(5-4*(AE37)/(70)),1)</f>
        <v>2.6</v>
      </c>
      <c r="AG37" s="212">
        <f t="shared" si="13"/>
        <v>0.78</v>
      </c>
      <c r="AH37" s="203">
        <v>36</v>
      </c>
      <c r="AI37" s="207">
        <v>19</v>
      </c>
      <c r="AJ37" s="96">
        <f t="shared" si="14"/>
        <v>55</v>
      </c>
      <c r="AK37" s="209">
        <f>ROUND(AVERAGE(5-4*(AJ37)/(AJ9)),1)</f>
        <v>2.8</v>
      </c>
      <c r="AL37" s="212">
        <f t="shared" si="15"/>
        <v>0.42</v>
      </c>
      <c r="AM37" s="207">
        <v>38</v>
      </c>
      <c r="AN37" s="207">
        <v>35</v>
      </c>
      <c r="AO37" s="96">
        <f t="shared" si="16"/>
        <v>73</v>
      </c>
      <c r="AP37" s="209">
        <f>ROUND(AVERAGE(5-4*(AO37)/(AO9)),1)</f>
        <v>2.1</v>
      </c>
      <c r="AQ37" s="215">
        <f t="shared" si="17"/>
        <v>0.315</v>
      </c>
      <c r="AR37" s="207">
        <v>35</v>
      </c>
      <c r="AS37" s="207">
        <v>40</v>
      </c>
      <c r="AT37" s="96">
        <f t="shared" si="18"/>
        <v>75</v>
      </c>
      <c r="AU37" s="213">
        <f>ROUND(AVERAGE(5-4*(AT37)/(AT9)),1)</f>
        <v>2</v>
      </c>
      <c r="AV37" s="214">
        <f t="shared" si="19"/>
        <v>0.3</v>
      </c>
      <c r="AW37" s="207">
        <v>95</v>
      </c>
      <c r="AX37" s="207">
        <v>95</v>
      </c>
      <c r="AY37" s="207">
        <v>90</v>
      </c>
      <c r="AZ37" s="207">
        <f t="shared" si="27"/>
        <v>280</v>
      </c>
      <c r="BA37" s="213">
        <f>ROUND(AVERAGE(5-4*(AZ37)/(AZ9)),1)</f>
        <v>1.3</v>
      </c>
      <c r="BB37" s="214">
        <f t="shared" si="21"/>
        <v>0.19500000000000001</v>
      </c>
      <c r="BC37" s="165">
        <v>27</v>
      </c>
      <c r="BD37" s="213">
        <f>5-(4*BC37/BC9)</f>
        <v>1</v>
      </c>
      <c r="BE37" s="214">
        <f t="shared" si="22"/>
        <v>0.1</v>
      </c>
      <c r="BF37" s="206">
        <v>45</v>
      </c>
      <c r="BG37" s="157">
        <f>ROUND(AVERAGE(5-4*(BF37)/(BF9)),1)</f>
        <v>2.4</v>
      </c>
      <c r="BH37" s="149">
        <f t="shared" si="23"/>
        <v>0.72</v>
      </c>
      <c r="BI37" s="165">
        <f t="shared" si="24"/>
        <v>2.02</v>
      </c>
      <c r="BJ37" s="216">
        <f t="shared" si="25"/>
        <v>2.0499999999999998</v>
      </c>
      <c r="BK37" s="165">
        <f t="shared" si="26"/>
        <v>2.0350000000000001</v>
      </c>
      <c r="BL37" s="81" t="s">
        <v>91</v>
      </c>
    </row>
    <row r="38" spans="1:64" s="20" customFormat="1" ht="15" customHeight="1" x14ac:dyDescent="0.3">
      <c r="A38" s="327">
        <v>28</v>
      </c>
      <c r="B38" s="328" t="s">
        <v>369</v>
      </c>
      <c r="C38" s="329" t="s">
        <v>370</v>
      </c>
      <c r="D38" s="330">
        <v>12</v>
      </c>
      <c r="E38" s="330"/>
      <c r="F38" s="331">
        <f t="shared" si="1"/>
        <v>12</v>
      </c>
      <c r="G38" s="332">
        <f>ROUND(AVERAGE(5-4*(F38)/(F9)),1)</f>
        <v>4.5</v>
      </c>
      <c r="H38" s="337">
        <f t="shared" si="28"/>
        <v>0.67499999999999993</v>
      </c>
      <c r="I38" s="335">
        <v>30</v>
      </c>
      <c r="J38" s="389">
        <f t="shared" si="29"/>
        <v>1</v>
      </c>
      <c r="K38" s="335">
        <v>39</v>
      </c>
      <c r="L38" s="335"/>
      <c r="M38" s="336">
        <f t="shared" si="4"/>
        <v>39</v>
      </c>
      <c r="N38" s="332">
        <f>ROUND(AVERAGE(5-4*(M38)/(M9)),1)</f>
        <v>3.4</v>
      </c>
      <c r="O38" s="337">
        <f t="shared" si="5"/>
        <v>0.51</v>
      </c>
      <c r="P38" s="390" t="e">
        <f>ROUND(5-4*#REF!/10,1)</f>
        <v>#REF!</v>
      </c>
      <c r="Q38" s="391"/>
      <c r="R38" s="330"/>
      <c r="S38" s="330"/>
      <c r="T38" s="331"/>
      <c r="U38" s="341">
        <f>ROUND(AVERAGE(5-4*(T38)/(T9)),1)</f>
        <v>5</v>
      </c>
      <c r="V38" s="337">
        <f t="shared" si="7"/>
        <v>0.75</v>
      </c>
      <c r="W38" s="330">
        <v>70</v>
      </c>
      <c r="X38" s="339">
        <v>75</v>
      </c>
      <c r="Y38" s="340">
        <f t="shared" si="8"/>
        <v>145</v>
      </c>
      <c r="Z38" s="341">
        <f>ROUND(AVERAGE(5-4*(Y38)/(Y9)),1)</f>
        <v>2.1</v>
      </c>
      <c r="AA38" s="337">
        <f t="shared" si="9"/>
        <v>0.315</v>
      </c>
      <c r="AB38" s="342">
        <v>19.5</v>
      </c>
      <c r="AC38" s="341">
        <f>5-(4*AB38/27)</f>
        <v>2.1111111111111112</v>
      </c>
      <c r="AD38" s="337">
        <f t="shared" si="11"/>
        <v>0.21111111111111114</v>
      </c>
      <c r="AE38" s="330"/>
      <c r="AF38" s="343">
        <f t="shared" si="12"/>
        <v>5</v>
      </c>
      <c r="AG38" s="337">
        <f t="shared" si="13"/>
        <v>1.5</v>
      </c>
      <c r="AH38" s="340"/>
      <c r="AI38" s="331"/>
      <c r="AJ38" s="340"/>
      <c r="AK38" s="341">
        <f>ROUND(AVERAGE(5-4*(AJ38)/(AJ9)),1)</f>
        <v>5</v>
      </c>
      <c r="AL38" s="337">
        <f t="shared" si="15"/>
        <v>0.75</v>
      </c>
      <c r="AM38" s="331"/>
      <c r="AN38" s="331"/>
      <c r="AO38" s="340"/>
      <c r="AP38" s="341">
        <f>ROUND(AVERAGE(5-4*(AO38)/(AO9)),1)</f>
        <v>5</v>
      </c>
      <c r="AQ38" s="344">
        <f t="shared" si="17"/>
        <v>0.75</v>
      </c>
      <c r="AR38" s="331"/>
      <c r="AS38" s="331"/>
      <c r="AT38" s="340"/>
      <c r="AU38" s="345">
        <f>ROUND(AVERAGE(5-4*(AT38)/(AT9)),1)</f>
        <v>5</v>
      </c>
      <c r="AV38" s="346">
        <f t="shared" si="19"/>
        <v>0.75</v>
      </c>
      <c r="AW38" s="331"/>
      <c r="AX38" s="331"/>
      <c r="AY38" s="331"/>
      <c r="AZ38" s="331"/>
      <c r="BA38" s="345">
        <f>ROUND(AVERAGE(5-4*(AZ38)/(AZ9)),1)</f>
        <v>5</v>
      </c>
      <c r="BB38" s="346">
        <f t="shared" si="21"/>
        <v>0.75</v>
      </c>
      <c r="BC38" s="336"/>
      <c r="BD38" s="345">
        <f>5-(4*BC38/BC9)</f>
        <v>5</v>
      </c>
      <c r="BE38" s="346">
        <f t="shared" si="22"/>
        <v>0.5</v>
      </c>
      <c r="BF38" s="336"/>
      <c r="BG38" s="349">
        <f>ROUND(AVERAGE(5-4*(BF38)/(BF9)),1)</f>
        <v>5</v>
      </c>
      <c r="BH38" s="346">
        <f t="shared" si="23"/>
        <v>1.5</v>
      </c>
      <c r="BI38" s="348" t="s">
        <v>93</v>
      </c>
      <c r="BJ38" s="348" t="s">
        <v>93</v>
      </c>
      <c r="BK38" s="348" t="s">
        <v>95</v>
      </c>
      <c r="BL38" s="350">
        <v>45950</v>
      </c>
    </row>
    <row r="39" spans="1:64" s="20" customFormat="1" ht="15" customHeight="1" x14ac:dyDescent="0.3">
      <c r="A39" s="272">
        <v>29</v>
      </c>
      <c r="B39" s="273" t="s">
        <v>371</v>
      </c>
      <c r="C39" s="237" t="s">
        <v>372</v>
      </c>
      <c r="D39" s="202">
        <v>12</v>
      </c>
      <c r="E39" s="202">
        <v>18</v>
      </c>
      <c r="F39" s="207">
        <f t="shared" si="1"/>
        <v>30</v>
      </c>
      <c r="G39" s="267">
        <f>ROUND(AVERAGE(5-4*(F39)/(F9)),1)</f>
        <v>3.8</v>
      </c>
      <c r="H39" s="212">
        <f t="shared" si="28"/>
        <v>0.56999999999999995</v>
      </c>
      <c r="I39" s="205">
        <v>30</v>
      </c>
      <c r="J39" s="310">
        <f t="shared" si="29"/>
        <v>1</v>
      </c>
      <c r="K39" s="205">
        <v>34</v>
      </c>
      <c r="L39" s="205">
        <v>29</v>
      </c>
      <c r="M39" s="206">
        <f t="shared" si="4"/>
        <v>63</v>
      </c>
      <c r="N39" s="267">
        <f>ROUND(AVERAGE(5-4*(M39)/(M9)),1)</f>
        <v>2.5</v>
      </c>
      <c r="O39" s="212">
        <f t="shared" si="5"/>
        <v>0.375</v>
      </c>
      <c r="P39" s="311" t="e">
        <f>ROUND(5-4*#REF!/10,1)</f>
        <v>#REF!</v>
      </c>
      <c r="Q39" s="312"/>
      <c r="R39" s="202">
        <v>35</v>
      </c>
      <c r="S39" s="202">
        <v>30</v>
      </c>
      <c r="T39" s="207">
        <f t="shared" si="6"/>
        <v>65</v>
      </c>
      <c r="U39" s="209">
        <f>ROUND(AVERAGE(5-4*(T39)/(T9)),1)</f>
        <v>2.4</v>
      </c>
      <c r="V39" s="212">
        <f t="shared" si="7"/>
        <v>0.36</v>
      </c>
      <c r="W39" s="202">
        <v>80</v>
      </c>
      <c r="X39" s="208">
        <v>85</v>
      </c>
      <c r="Y39" s="96">
        <f t="shared" si="8"/>
        <v>165</v>
      </c>
      <c r="Z39" s="209">
        <f>ROUND(AVERAGE(5-4*(Y39)/(Y9)),1)</f>
        <v>1.7</v>
      </c>
      <c r="AA39" s="212">
        <f t="shared" si="9"/>
        <v>0.255</v>
      </c>
      <c r="AB39" s="218">
        <v>24</v>
      </c>
      <c r="AC39" s="209">
        <f t="shared" si="10"/>
        <v>1.4444444444444446</v>
      </c>
      <c r="AD39" s="212">
        <f t="shared" si="11"/>
        <v>0.14444444444444446</v>
      </c>
      <c r="AE39" s="202">
        <v>18</v>
      </c>
      <c r="AF39" s="211">
        <f t="shared" si="12"/>
        <v>4</v>
      </c>
      <c r="AG39" s="212">
        <f t="shared" si="13"/>
        <v>1.2</v>
      </c>
      <c r="AH39" s="203">
        <v>28</v>
      </c>
      <c r="AI39" s="207">
        <v>30</v>
      </c>
      <c r="AJ39" s="96">
        <f t="shared" si="14"/>
        <v>58</v>
      </c>
      <c r="AK39" s="209">
        <f>ROUND(AVERAGE(5-4*(AJ39)/(AJ9)),1)</f>
        <v>2.7</v>
      </c>
      <c r="AL39" s="212">
        <f t="shared" si="15"/>
        <v>0.40500000000000003</v>
      </c>
      <c r="AM39" s="207">
        <v>29</v>
      </c>
      <c r="AN39" s="207">
        <v>30</v>
      </c>
      <c r="AO39" s="96">
        <f t="shared" si="16"/>
        <v>59</v>
      </c>
      <c r="AP39" s="209">
        <f>ROUND(AVERAGE(5-4*(AO39)/(AO9)),1)</f>
        <v>2.6</v>
      </c>
      <c r="AQ39" s="215">
        <f t="shared" si="17"/>
        <v>0.39</v>
      </c>
      <c r="AR39" s="207">
        <v>30</v>
      </c>
      <c r="AS39" s="207">
        <v>34</v>
      </c>
      <c r="AT39" s="96">
        <f t="shared" si="18"/>
        <v>64</v>
      </c>
      <c r="AU39" s="213">
        <f>ROUND(AVERAGE(5-4*(AT39)/(AT9)),1)</f>
        <v>2.4</v>
      </c>
      <c r="AV39" s="214">
        <f t="shared" si="19"/>
        <v>0.36</v>
      </c>
      <c r="AW39" s="207">
        <v>95</v>
      </c>
      <c r="AX39" s="207">
        <v>90</v>
      </c>
      <c r="AY39" s="207">
        <v>90</v>
      </c>
      <c r="AZ39" s="207">
        <f t="shared" si="27"/>
        <v>275</v>
      </c>
      <c r="BA39" s="213">
        <f>ROUND(AVERAGE(5-4*(AZ39)/(AZ9)),1)</f>
        <v>1.3</v>
      </c>
      <c r="BB39" s="214">
        <f t="shared" si="21"/>
        <v>0.19500000000000001</v>
      </c>
      <c r="BC39" s="216">
        <v>27</v>
      </c>
      <c r="BD39" s="213">
        <f>5-(4*BC39/BC9)</f>
        <v>1</v>
      </c>
      <c r="BE39" s="214">
        <f t="shared" si="22"/>
        <v>0.1</v>
      </c>
      <c r="BF39" s="206">
        <v>38</v>
      </c>
      <c r="BG39" s="157">
        <f>ROUND(AVERAGE(5-4*(BF39)/(BF9)),1)</f>
        <v>2.8</v>
      </c>
      <c r="BH39" s="149">
        <f t="shared" si="23"/>
        <v>0.84</v>
      </c>
      <c r="BI39" s="165">
        <f t="shared" si="24"/>
        <v>2.9044444444444446</v>
      </c>
      <c r="BJ39" s="216">
        <f t="shared" si="25"/>
        <v>2.29</v>
      </c>
      <c r="BK39" s="216">
        <f t="shared" ref="BK39:BK67" si="30">(BI39*1/2)+(BJ39*1/2)</f>
        <v>2.5972222222222223</v>
      </c>
      <c r="BL39" s="206" t="s">
        <v>91</v>
      </c>
    </row>
    <row r="40" spans="1:64" s="20" customFormat="1" ht="15" customHeight="1" x14ac:dyDescent="0.3">
      <c r="A40" s="272">
        <v>30</v>
      </c>
      <c r="B40" s="273" t="s">
        <v>373</v>
      </c>
      <c r="C40" s="237" t="s">
        <v>374</v>
      </c>
      <c r="D40" s="202">
        <v>14</v>
      </c>
      <c r="E40" s="202">
        <v>30</v>
      </c>
      <c r="F40" s="207">
        <f t="shared" si="1"/>
        <v>44</v>
      </c>
      <c r="G40" s="267">
        <f>ROUND(AVERAGE(5-4*(F40)/(F9)),1)</f>
        <v>3.2</v>
      </c>
      <c r="H40" s="212">
        <f t="shared" si="28"/>
        <v>0.48</v>
      </c>
      <c r="I40" s="205">
        <v>26</v>
      </c>
      <c r="J40" s="310">
        <f t="shared" si="29"/>
        <v>1.5</v>
      </c>
      <c r="K40" s="205">
        <v>34</v>
      </c>
      <c r="L40" s="205">
        <v>31</v>
      </c>
      <c r="M40" s="206">
        <f t="shared" si="4"/>
        <v>65</v>
      </c>
      <c r="N40" s="267">
        <f>ROUND(AVERAGE(5-4*(M40)/(M9)),1)</f>
        <v>2.4</v>
      </c>
      <c r="O40" s="212">
        <f t="shared" si="5"/>
        <v>0.36</v>
      </c>
      <c r="P40" s="311" t="e">
        <f>ROUND(5-4*#REF!/10,1)</f>
        <v>#REF!</v>
      </c>
      <c r="Q40" s="312"/>
      <c r="R40" s="202">
        <v>33</v>
      </c>
      <c r="S40" s="202">
        <v>28</v>
      </c>
      <c r="T40" s="207">
        <f>SUM(R40+S40)</f>
        <v>61</v>
      </c>
      <c r="U40" s="209">
        <f>ROUND(AVERAGE(5-4*(T40)/(T9)),1)</f>
        <v>2.6</v>
      </c>
      <c r="V40" s="212">
        <f t="shared" si="7"/>
        <v>0.39</v>
      </c>
      <c r="W40" s="202">
        <v>70</v>
      </c>
      <c r="X40" s="208">
        <v>75</v>
      </c>
      <c r="Y40" s="96">
        <f t="shared" si="8"/>
        <v>145</v>
      </c>
      <c r="Z40" s="209">
        <f>ROUND(AVERAGE(5-4*(Y40)/(Y9)),1)</f>
        <v>2.1</v>
      </c>
      <c r="AA40" s="212">
        <f t="shared" si="9"/>
        <v>0.315</v>
      </c>
      <c r="AB40" s="218">
        <v>25.5</v>
      </c>
      <c r="AC40" s="209">
        <f t="shared" si="10"/>
        <v>1.2222222222222223</v>
      </c>
      <c r="AD40" s="212">
        <f t="shared" si="11"/>
        <v>0.12222222222222223</v>
      </c>
      <c r="AE40" s="202">
        <v>18</v>
      </c>
      <c r="AF40" s="211">
        <f t="shared" si="12"/>
        <v>4</v>
      </c>
      <c r="AG40" s="212">
        <f t="shared" si="13"/>
        <v>1.2</v>
      </c>
      <c r="AH40" s="203">
        <v>26</v>
      </c>
      <c r="AI40" s="207">
        <v>21</v>
      </c>
      <c r="AJ40" s="96">
        <f t="shared" si="14"/>
        <v>47</v>
      </c>
      <c r="AK40" s="209">
        <f>ROUND(AVERAGE(5-4*(AJ40)/(AJ9)),1)</f>
        <v>3.1</v>
      </c>
      <c r="AL40" s="212">
        <f t="shared" si="15"/>
        <v>0.46499999999999997</v>
      </c>
      <c r="AM40" s="207">
        <v>32</v>
      </c>
      <c r="AN40" s="207">
        <v>34</v>
      </c>
      <c r="AO40" s="96">
        <f t="shared" si="16"/>
        <v>66</v>
      </c>
      <c r="AP40" s="209">
        <f>ROUND(AVERAGE(5-4*(AO40)/(AO9)),1)</f>
        <v>2.4</v>
      </c>
      <c r="AQ40" s="215">
        <f t="shared" si="17"/>
        <v>0.36</v>
      </c>
      <c r="AR40" s="207">
        <v>30</v>
      </c>
      <c r="AS40" s="207">
        <v>39</v>
      </c>
      <c r="AT40" s="96">
        <f t="shared" si="18"/>
        <v>69</v>
      </c>
      <c r="AU40" s="213">
        <f>ROUND(AVERAGE(5-4*(AT40)/(AT9)),1)</f>
        <v>2.2000000000000002</v>
      </c>
      <c r="AV40" s="214">
        <f t="shared" si="19"/>
        <v>0.33</v>
      </c>
      <c r="AW40" s="207">
        <v>80</v>
      </c>
      <c r="AX40" s="207">
        <v>80</v>
      </c>
      <c r="AY40" s="207">
        <v>85</v>
      </c>
      <c r="AZ40" s="207">
        <f t="shared" si="27"/>
        <v>245</v>
      </c>
      <c r="BA40" s="213">
        <f>ROUND(AVERAGE(5-4*(AZ40)/(AZ9)),1)</f>
        <v>1.7</v>
      </c>
      <c r="BB40" s="214">
        <f t="shared" si="21"/>
        <v>0.255</v>
      </c>
      <c r="BC40" s="216">
        <v>27</v>
      </c>
      <c r="BD40" s="213">
        <f>5-(4*BC40/BC9)</f>
        <v>1</v>
      </c>
      <c r="BE40" s="214">
        <f t="shared" si="22"/>
        <v>0.1</v>
      </c>
      <c r="BF40" s="206">
        <v>50</v>
      </c>
      <c r="BG40" s="157">
        <f>ROUND(AVERAGE(5-4*(BF40)/(BF9)),1)</f>
        <v>2.1</v>
      </c>
      <c r="BH40" s="149">
        <f t="shared" si="23"/>
        <v>0.63</v>
      </c>
      <c r="BI40" s="165">
        <f>H40+O40+V40+AA40+AD40+AG40</f>
        <v>2.8672222222222219</v>
      </c>
      <c r="BJ40" s="216">
        <f t="shared" si="25"/>
        <v>2.14</v>
      </c>
      <c r="BK40" s="216">
        <f t="shared" si="30"/>
        <v>2.5036111111111108</v>
      </c>
      <c r="BL40" s="206" t="s">
        <v>91</v>
      </c>
    </row>
    <row r="41" spans="1:64" s="20" customFormat="1" ht="15" customHeight="1" x14ac:dyDescent="0.3">
      <c r="A41" s="327">
        <v>31</v>
      </c>
      <c r="B41" s="328" t="s">
        <v>375</v>
      </c>
      <c r="C41" s="329" t="s">
        <v>376</v>
      </c>
      <c r="D41" s="330">
        <v>26</v>
      </c>
      <c r="E41" s="330">
        <v>24</v>
      </c>
      <c r="F41" s="331">
        <f t="shared" si="1"/>
        <v>50</v>
      </c>
      <c r="G41" s="332">
        <f>ROUND(AVERAGE(5-4*(F41)/(F9)),1)</f>
        <v>3</v>
      </c>
      <c r="H41" s="337">
        <f t="shared" si="28"/>
        <v>0.44999999999999996</v>
      </c>
      <c r="I41" s="335">
        <v>25</v>
      </c>
      <c r="J41" s="389">
        <f t="shared" si="29"/>
        <v>1.7</v>
      </c>
      <c r="K41" s="335">
        <v>37</v>
      </c>
      <c r="L41" s="335">
        <v>31</v>
      </c>
      <c r="M41" s="336">
        <f t="shared" si="4"/>
        <v>68</v>
      </c>
      <c r="N41" s="332">
        <f>ROUND(AVERAGE(5-4*(M41)/(M9)),1)</f>
        <v>2.2999999999999998</v>
      </c>
      <c r="O41" s="337">
        <f t="shared" si="5"/>
        <v>0.34499999999999997</v>
      </c>
      <c r="P41" s="390" t="e">
        <f>ROUND(5-4*#REF!/10,1)</f>
        <v>#REF!</v>
      </c>
      <c r="Q41" s="391"/>
      <c r="R41" s="330">
        <v>38</v>
      </c>
      <c r="S41" s="330">
        <v>30</v>
      </c>
      <c r="T41" s="331">
        <f t="shared" si="6"/>
        <v>68</v>
      </c>
      <c r="U41" s="341">
        <f>ROUND(AVERAGE(5-4*(T41)/(T9)),1)</f>
        <v>2.2999999999999998</v>
      </c>
      <c r="V41" s="337">
        <f t="shared" si="7"/>
        <v>0.34499999999999997</v>
      </c>
      <c r="W41" s="330">
        <v>75</v>
      </c>
      <c r="X41" s="339">
        <v>75</v>
      </c>
      <c r="Y41" s="340">
        <f t="shared" si="8"/>
        <v>150</v>
      </c>
      <c r="Z41" s="341">
        <f>ROUND(AVERAGE(5-4*(Y41)/(Y9)),1)</f>
        <v>2</v>
      </c>
      <c r="AA41" s="337">
        <f t="shared" si="9"/>
        <v>0.3</v>
      </c>
      <c r="AB41" s="342">
        <v>19.5</v>
      </c>
      <c r="AC41" s="341">
        <f t="shared" si="10"/>
        <v>2.1111111111111112</v>
      </c>
      <c r="AD41" s="337">
        <f t="shared" si="11"/>
        <v>0.21111111111111114</v>
      </c>
      <c r="AE41" s="330">
        <v>35</v>
      </c>
      <c r="AF41" s="343">
        <f t="shared" si="12"/>
        <v>3</v>
      </c>
      <c r="AG41" s="337">
        <f t="shared" si="13"/>
        <v>0.89999999999999991</v>
      </c>
      <c r="AH41" s="340"/>
      <c r="AI41" s="331"/>
      <c r="AJ41" s="340">
        <f t="shared" si="14"/>
        <v>0</v>
      </c>
      <c r="AK41" s="341">
        <f>ROUND(AVERAGE(5-4*(AJ41)/(AJ9)),1)</f>
        <v>5</v>
      </c>
      <c r="AL41" s="337">
        <f t="shared" si="15"/>
        <v>0.75</v>
      </c>
      <c r="AM41" s="331"/>
      <c r="AN41" s="331"/>
      <c r="AO41" s="340">
        <f t="shared" si="16"/>
        <v>0</v>
      </c>
      <c r="AP41" s="341">
        <f>ROUND(AVERAGE(5-4*(AO41)/(AO9)),1)</f>
        <v>5</v>
      </c>
      <c r="AQ41" s="344">
        <f t="shared" si="17"/>
        <v>0.75</v>
      </c>
      <c r="AR41" s="331"/>
      <c r="AS41" s="331"/>
      <c r="AT41" s="340">
        <f t="shared" si="18"/>
        <v>0</v>
      </c>
      <c r="AU41" s="345">
        <f>ROUND(AVERAGE(5-4*(AT41)/(AT9)),1)</f>
        <v>5</v>
      </c>
      <c r="AV41" s="346">
        <f>AU41*0.15</f>
        <v>0.75</v>
      </c>
      <c r="AW41" s="331"/>
      <c r="AX41" s="331"/>
      <c r="AY41" s="331"/>
      <c r="AZ41" s="331">
        <f t="shared" si="27"/>
        <v>0</v>
      </c>
      <c r="BA41" s="345">
        <f>ROUND(AVERAGE(5-4*(AZ41)/(AZ9)),1)</f>
        <v>5</v>
      </c>
      <c r="BB41" s="346">
        <f t="shared" si="21"/>
        <v>0.75</v>
      </c>
      <c r="BC41" s="336"/>
      <c r="BD41" s="345">
        <f>5-(4*BC41/BC9)</f>
        <v>5</v>
      </c>
      <c r="BE41" s="346">
        <f t="shared" si="22"/>
        <v>0.5</v>
      </c>
      <c r="BF41" s="336"/>
      <c r="BG41" s="349">
        <f>ROUND(AVERAGE(5-4*(BF41)/(BF9)),1)</f>
        <v>5</v>
      </c>
      <c r="BH41" s="346">
        <f t="shared" si="23"/>
        <v>1.5</v>
      </c>
      <c r="BI41" s="348" t="s">
        <v>93</v>
      </c>
      <c r="BJ41" s="348" t="s">
        <v>93</v>
      </c>
      <c r="BK41" s="348" t="s">
        <v>95</v>
      </c>
      <c r="BL41" s="350">
        <v>45992</v>
      </c>
    </row>
    <row r="42" spans="1:64" s="20" customFormat="1" ht="15" customHeight="1" x14ac:dyDescent="0.3">
      <c r="A42" s="272">
        <v>32</v>
      </c>
      <c r="B42" s="273" t="s">
        <v>377</v>
      </c>
      <c r="C42" s="237" t="s">
        <v>378</v>
      </c>
      <c r="D42" s="86">
        <v>13</v>
      </c>
      <c r="E42" s="86">
        <v>16</v>
      </c>
      <c r="F42" s="93">
        <f t="shared" si="1"/>
        <v>29</v>
      </c>
      <c r="G42" s="266">
        <f>ROUND(AVERAGE(5-4*(F42)/(F9)),1)</f>
        <v>3.8</v>
      </c>
      <c r="H42" s="108">
        <f t="shared" si="28"/>
        <v>0.56999999999999995</v>
      </c>
      <c r="I42" s="78">
        <v>26</v>
      </c>
      <c r="J42" s="305">
        <f t="shared" si="29"/>
        <v>1.5</v>
      </c>
      <c r="K42" s="78">
        <v>31</v>
      </c>
      <c r="L42" s="78">
        <v>30</v>
      </c>
      <c r="M42" s="81">
        <f t="shared" si="4"/>
        <v>61</v>
      </c>
      <c r="N42" s="266">
        <f>ROUND(AVERAGE(5-4*(M42)/(M9)),1)</f>
        <v>2.6</v>
      </c>
      <c r="O42" s="108">
        <f t="shared" si="5"/>
        <v>0.39</v>
      </c>
      <c r="P42" s="306" t="e">
        <f>ROUND(5-4*#REF!/10,1)</f>
        <v>#REF!</v>
      </c>
      <c r="Q42" s="307"/>
      <c r="R42" s="86">
        <v>30</v>
      </c>
      <c r="S42" s="86">
        <v>28</v>
      </c>
      <c r="T42" s="93">
        <f t="shared" si="6"/>
        <v>58</v>
      </c>
      <c r="U42" s="106">
        <f>ROUND(AVERAGE(5-4*(T42)/(T9)),1)</f>
        <v>2.7</v>
      </c>
      <c r="V42" s="108">
        <f t="shared" si="7"/>
        <v>0.40500000000000003</v>
      </c>
      <c r="W42" s="86">
        <v>78</v>
      </c>
      <c r="X42" s="95">
        <v>80</v>
      </c>
      <c r="Y42" s="96">
        <f t="shared" si="8"/>
        <v>158</v>
      </c>
      <c r="Z42" s="106">
        <f>ROUND(AVERAGE(5-4*(Y42)/(Y9)),1)</f>
        <v>1.8</v>
      </c>
      <c r="AA42" s="108">
        <f t="shared" si="9"/>
        <v>0.27</v>
      </c>
      <c r="AB42" s="98">
        <v>27</v>
      </c>
      <c r="AC42" s="106">
        <f t="shared" si="10"/>
        <v>1</v>
      </c>
      <c r="AD42" s="108">
        <f t="shared" si="11"/>
        <v>0.1</v>
      </c>
      <c r="AE42" s="86">
        <v>25</v>
      </c>
      <c r="AF42" s="107">
        <f t="shared" si="12"/>
        <v>3.6</v>
      </c>
      <c r="AG42" s="108">
        <f t="shared" si="13"/>
        <v>1.08</v>
      </c>
      <c r="AH42" s="96">
        <v>27</v>
      </c>
      <c r="AI42" s="93">
        <v>29</v>
      </c>
      <c r="AJ42" s="96">
        <f t="shared" si="14"/>
        <v>56</v>
      </c>
      <c r="AK42" s="106">
        <f>ROUND(AVERAGE(5-4*(AJ42)/(AJ9)),1)</f>
        <v>2.8</v>
      </c>
      <c r="AL42" s="108">
        <f t="shared" si="15"/>
        <v>0.42</v>
      </c>
      <c r="AM42" s="93">
        <v>30</v>
      </c>
      <c r="AN42" s="93">
        <v>32</v>
      </c>
      <c r="AO42" s="96">
        <f t="shared" si="16"/>
        <v>62</v>
      </c>
      <c r="AP42" s="106">
        <f>ROUND(AVERAGE(5-4*(AO42)/(AO9)),1)</f>
        <v>2.5</v>
      </c>
      <c r="AQ42" s="158">
        <f t="shared" si="17"/>
        <v>0.375</v>
      </c>
      <c r="AR42" s="93">
        <v>34</v>
      </c>
      <c r="AS42" s="93">
        <v>40</v>
      </c>
      <c r="AT42" s="96">
        <f t="shared" si="18"/>
        <v>74</v>
      </c>
      <c r="AU42" s="148">
        <f>ROUND(AVERAGE(5-4*(AT42)/(AT9)),1)</f>
        <v>2</v>
      </c>
      <c r="AV42" s="149">
        <f t="shared" si="19"/>
        <v>0.3</v>
      </c>
      <c r="AW42" s="93">
        <v>83</v>
      </c>
      <c r="AX42" s="93">
        <v>85</v>
      </c>
      <c r="AY42" s="93">
        <v>87</v>
      </c>
      <c r="AZ42" s="207">
        <f t="shared" si="27"/>
        <v>255</v>
      </c>
      <c r="BA42" s="148">
        <f>ROUND(AVERAGE(5-4*(AZ42)/(AZ9)),1)</f>
        <v>1.6</v>
      </c>
      <c r="BB42" s="149">
        <f>BA42*0.15</f>
        <v>0.24</v>
      </c>
      <c r="BC42" s="165">
        <v>27</v>
      </c>
      <c r="BD42" s="148">
        <f>5-(4*BC42/BC9)</f>
        <v>1</v>
      </c>
      <c r="BE42" s="149">
        <f t="shared" si="22"/>
        <v>0.1</v>
      </c>
      <c r="BF42" s="81">
        <v>38</v>
      </c>
      <c r="BG42" s="157">
        <f>ROUND(AVERAGE(5-4*(BF42)/(BF9)),1)</f>
        <v>2.8</v>
      </c>
      <c r="BH42" s="149">
        <f t="shared" si="23"/>
        <v>0.84</v>
      </c>
      <c r="BI42" s="165">
        <f t="shared" si="24"/>
        <v>2.8150000000000004</v>
      </c>
      <c r="BJ42" s="165">
        <f>AL42+AQ42+AV42+BB42+BE42+BH42</f>
        <v>2.2749999999999999</v>
      </c>
      <c r="BK42" s="165">
        <f t="shared" si="30"/>
        <v>2.5449999999999999</v>
      </c>
      <c r="BL42" s="81" t="s">
        <v>91</v>
      </c>
    </row>
    <row r="43" spans="1:64" s="20" customFormat="1" ht="15" customHeight="1" x14ac:dyDescent="0.3">
      <c r="A43" s="272">
        <v>33</v>
      </c>
      <c r="B43" s="273" t="s">
        <v>379</v>
      </c>
      <c r="C43" s="237" t="s">
        <v>380</v>
      </c>
      <c r="D43" s="86">
        <v>12</v>
      </c>
      <c r="E43" s="86">
        <v>30</v>
      </c>
      <c r="F43" s="93">
        <f t="shared" si="1"/>
        <v>42</v>
      </c>
      <c r="G43" s="266">
        <f>ROUND(AVERAGE(5-4*(F43)/(F9)),1)</f>
        <v>3.3</v>
      </c>
      <c r="H43" s="108">
        <f t="shared" si="28"/>
        <v>0.49499999999999994</v>
      </c>
      <c r="I43" s="78">
        <v>25</v>
      </c>
      <c r="J43" s="305">
        <f t="shared" si="29"/>
        <v>1.7</v>
      </c>
      <c r="K43" s="78">
        <v>37</v>
      </c>
      <c r="L43" s="78">
        <v>33</v>
      </c>
      <c r="M43" s="81">
        <f t="shared" si="4"/>
        <v>70</v>
      </c>
      <c r="N43" s="266">
        <f>ROUND(AVERAGE(5-4*(M43)/(M9)),1)</f>
        <v>2.2000000000000002</v>
      </c>
      <c r="O43" s="108">
        <f t="shared" si="5"/>
        <v>0.33</v>
      </c>
      <c r="P43" s="306" t="e">
        <f>ROUND(5-4*#REF!/10,1)</f>
        <v>#REF!</v>
      </c>
      <c r="Q43" s="307"/>
      <c r="R43" s="86">
        <v>32</v>
      </c>
      <c r="S43" s="86">
        <v>30</v>
      </c>
      <c r="T43" s="93">
        <f t="shared" si="6"/>
        <v>62</v>
      </c>
      <c r="U43" s="106">
        <f>ROUND(AVERAGE(5-4*(T43)/(T9)),1)</f>
        <v>2.5</v>
      </c>
      <c r="V43" s="108">
        <f t="shared" si="7"/>
        <v>0.375</v>
      </c>
      <c r="W43" s="86">
        <v>83</v>
      </c>
      <c r="X43" s="95">
        <v>85</v>
      </c>
      <c r="Y43" s="96">
        <f t="shared" si="8"/>
        <v>168</v>
      </c>
      <c r="Z43" s="106">
        <f>ROUND(AVERAGE(5-4*(Y43)/(Y9)),1)</f>
        <v>1.6</v>
      </c>
      <c r="AA43" s="108">
        <f t="shared" si="9"/>
        <v>0.24</v>
      </c>
      <c r="AB43" s="98">
        <v>25.5</v>
      </c>
      <c r="AC43" s="106">
        <f t="shared" si="10"/>
        <v>1.2222222222222223</v>
      </c>
      <c r="AD43" s="108">
        <f t="shared" si="11"/>
        <v>0.12222222222222223</v>
      </c>
      <c r="AE43" s="86">
        <v>22</v>
      </c>
      <c r="AF43" s="107">
        <f t="shared" si="12"/>
        <v>3.7</v>
      </c>
      <c r="AG43" s="108">
        <f t="shared" si="13"/>
        <v>1.1100000000000001</v>
      </c>
      <c r="AH43" s="96">
        <v>17</v>
      </c>
      <c r="AI43" s="93">
        <v>15</v>
      </c>
      <c r="AJ43" s="96">
        <f t="shared" si="14"/>
        <v>32</v>
      </c>
      <c r="AK43" s="106">
        <f>ROUND(AVERAGE(5-4*(AJ43)/(AJ9)),1)</f>
        <v>3.7</v>
      </c>
      <c r="AL43" s="108">
        <f>AK43*0.15</f>
        <v>0.55500000000000005</v>
      </c>
      <c r="AM43" s="93">
        <v>32</v>
      </c>
      <c r="AN43" s="93">
        <v>34</v>
      </c>
      <c r="AO43" s="96">
        <f t="shared" si="16"/>
        <v>66</v>
      </c>
      <c r="AP43" s="106">
        <f>ROUND(AVERAGE(5-4*(AO43)/(AO9)),1)</f>
        <v>2.4</v>
      </c>
      <c r="AQ43" s="158">
        <f t="shared" si="17"/>
        <v>0.36</v>
      </c>
      <c r="AR43" s="93">
        <v>30</v>
      </c>
      <c r="AS43" s="93">
        <v>40</v>
      </c>
      <c r="AT43" s="96">
        <f t="shared" si="18"/>
        <v>70</v>
      </c>
      <c r="AU43" s="148">
        <f>ROUND(AVERAGE(5-4*(AT43)/(AT9)),1)</f>
        <v>2.2000000000000002</v>
      </c>
      <c r="AV43" s="149">
        <f t="shared" si="19"/>
        <v>0.33</v>
      </c>
      <c r="AW43" s="93">
        <v>82</v>
      </c>
      <c r="AX43" s="93">
        <v>85</v>
      </c>
      <c r="AY43" s="93">
        <v>90</v>
      </c>
      <c r="AZ43" s="207">
        <f t="shared" si="27"/>
        <v>257</v>
      </c>
      <c r="BA43" s="148">
        <f>ROUND(AVERAGE(5-4*(AZ43)/(AZ9)),1)</f>
        <v>1.6</v>
      </c>
      <c r="BB43" s="149">
        <f t="shared" si="21"/>
        <v>0.24</v>
      </c>
      <c r="BC43" s="165">
        <v>24</v>
      </c>
      <c r="BD43" s="148">
        <f>5-(4*BC43/BC9)</f>
        <v>1.4444444444444446</v>
      </c>
      <c r="BE43" s="149">
        <f t="shared" si="22"/>
        <v>0.14444444444444446</v>
      </c>
      <c r="BF43" s="81">
        <v>43</v>
      </c>
      <c r="BG43" s="157">
        <f>ROUND(AVERAGE(5-4*(BF43)/(BF9)),1)</f>
        <v>2.5</v>
      </c>
      <c r="BH43" s="149">
        <f t="shared" si="23"/>
        <v>0.75</v>
      </c>
      <c r="BI43" s="165">
        <f t="shared" si="24"/>
        <v>2.6722222222222225</v>
      </c>
      <c r="BJ43" s="165">
        <f t="shared" si="25"/>
        <v>2.3794444444444443</v>
      </c>
      <c r="BK43" s="165">
        <f t="shared" si="30"/>
        <v>2.5258333333333334</v>
      </c>
      <c r="BL43" s="81" t="s">
        <v>91</v>
      </c>
    </row>
    <row r="44" spans="1:64" s="20" customFormat="1" ht="15" customHeight="1" x14ac:dyDescent="0.3">
      <c r="A44" s="272">
        <v>34</v>
      </c>
      <c r="B44" s="273" t="s">
        <v>381</v>
      </c>
      <c r="C44" s="237" t="s">
        <v>382</v>
      </c>
      <c r="D44" s="86">
        <v>12</v>
      </c>
      <c r="E44" s="86">
        <v>25</v>
      </c>
      <c r="F44" s="93">
        <f t="shared" si="1"/>
        <v>37</v>
      </c>
      <c r="G44" s="266">
        <f>ROUND(AVERAGE(5-4*(F44)/(F9)),1)</f>
        <v>3.5</v>
      </c>
      <c r="H44" s="108">
        <f t="shared" si="28"/>
        <v>0.52500000000000002</v>
      </c>
      <c r="I44" s="78">
        <v>25</v>
      </c>
      <c r="J44" s="305">
        <f t="shared" si="29"/>
        <v>1.7</v>
      </c>
      <c r="K44" s="78">
        <v>30</v>
      </c>
      <c r="L44" s="78">
        <v>30</v>
      </c>
      <c r="M44" s="81">
        <f t="shared" si="4"/>
        <v>60</v>
      </c>
      <c r="N44" s="266">
        <f>ROUND(AVERAGE(5-4*(M44)/(M9)),1)</f>
        <v>2.6</v>
      </c>
      <c r="O44" s="108">
        <f t="shared" si="5"/>
        <v>0.39</v>
      </c>
      <c r="P44" s="306" t="e">
        <f>ROUND(5-4*#REF!/10,1)</f>
        <v>#REF!</v>
      </c>
      <c r="Q44" s="307"/>
      <c r="R44" s="86">
        <v>44</v>
      </c>
      <c r="S44" s="86">
        <v>30</v>
      </c>
      <c r="T44" s="93">
        <f t="shared" si="6"/>
        <v>74</v>
      </c>
      <c r="U44" s="106">
        <f>ROUND(AVERAGE(5-4*(T44)/(T9)),1)</f>
        <v>2</v>
      </c>
      <c r="V44" s="108">
        <f t="shared" si="7"/>
        <v>0.3</v>
      </c>
      <c r="W44" s="86">
        <v>80</v>
      </c>
      <c r="X44" s="95">
        <v>80</v>
      </c>
      <c r="Y44" s="96">
        <f t="shared" si="8"/>
        <v>160</v>
      </c>
      <c r="Z44" s="106">
        <f>ROUND(AVERAGE(5-4*(Y44)/(Y9)),1)</f>
        <v>1.8</v>
      </c>
      <c r="AA44" s="108">
        <f t="shared" si="9"/>
        <v>0.27</v>
      </c>
      <c r="AB44" s="98">
        <v>27</v>
      </c>
      <c r="AC44" s="106">
        <f t="shared" si="10"/>
        <v>1</v>
      </c>
      <c r="AD44" s="108">
        <f t="shared" si="11"/>
        <v>0.1</v>
      </c>
      <c r="AE44" s="86">
        <v>30</v>
      </c>
      <c r="AF44" s="107">
        <f t="shared" si="12"/>
        <v>3.3</v>
      </c>
      <c r="AG44" s="108">
        <f t="shared" si="13"/>
        <v>0.98999999999999988</v>
      </c>
      <c r="AH44" s="96">
        <v>23</v>
      </c>
      <c r="AI44" s="93">
        <v>24</v>
      </c>
      <c r="AJ44" s="96">
        <f t="shared" si="14"/>
        <v>47</v>
      </c>
      <c r="AK44" s="106">
        <f>ROUND(AVERAGE(5-4*(AJ44)/(AJ9)),1)</f>
        <v>3.1</v>
      </c>
      <c r="AL44" s="108">
        <f t="shared" si="15"/>
        <v>0.46499999999999997</v>
      </c>
      <c r="AM44" s="93">
        <v>32</v>
      </c>
      <c r="AN44" s="93">
        <v>30</v>
      </c>
      <c r="AO44" s="96">
        <f>SUM(AN44+AM44)</f>
        <v>62</v>
      </c>
      <c r="AP44" s="106">
        <f>ROUND(AVERAGE(5-4*(AO44)/(AO9)),1)</f>
        <v>2.5</v>
      </c>
      <c r="AQ44" s="158">
        <f t="shared" si="17"/>
        <v>0.375</v>
      </c>
      <c r="AR44" s="93">
        <v>30</v>
      </c>
      <c r="AS44" s="93">
        <v>32</v>
      </c>
      <c r="AT44" s="96">
        <f t="shared" si="18"/>
        <v>62</v>
      </c>
      <c r="AU44" s="148">
        <f>ROUND(AVERAGE(5-4*(AT44)/(AT9)),1)</f>
        <v>2.5</v>
      </c>
      <c r="AV44" s="149">
        <f t="shared" si="19"/>
        <v>0.375</v>
      </c>
      <c r="AW44" s="93">
        <v>85</v>
      </c>
      <c r="AX44" s="93">
        <v>88</v>
      </c>
      <c r="AY44" s="93">
        <v>87</v>
      </c>
      <c r="AZ44" s="207">
        <f t="shared" si="27"/>
        <v>260</v>
      </c>
      <c r="BA44" s="148">
        <f>ROUND(AVERAGE(5-4*(AZ44)/(AZ9)),1)</f>
        <v>1.5</v>
      </c>
      <c r="BB44" s="149">
        <f t="shared" si="21"/>
        <v>0.22499999999999998</v>
      </c>
      <c r="BC44" s="165">
        <v>27</v>
      </c>
      <c r="BD44" s="148">
        <f>5-(4*BC44/BC9)</f>
        <v>1</v>
      </c>
      <c r="BE44" s="149">
        <f t="shared" si="22"/>
        <v>0.1</v>
      </c>
      <c r="BF44" s="81">
        <v>17</v>
      </c>
      <c r="BG44" s="157">
        <f>ROUND(AVERAGE(5-4*(BF44)/(BF9)),1)</f>
        <v>4</v>
      </c>
      <c r="BH44" s="149">
        <f t="shared" si="23"/>
        <v>1.2</v>
      </c>
      <c r="BI44" s="165">
        <f t="shared" si="24"/>
        <v>2.5750000000000002</v>
      </c>
      <c r="BJ44" s="165">
        <f t="shared" si="25"/>
        <v>2.74</v>
      </c>
      <c r="BK44" s="165">
        <v>2.6</v>
      </c>
      <c r="BL44" s="81" t="s">
        <v>91</v>
      </c>
    </row>
    <row r="45" spans="1:64" s="20" customFormat="1" ht="15" customHeight="1" x14ac:dyDescent="0.3">
      <c r="A45" s="272">
        <v>35</v>
      </c>
      <c r="B45" s="273" t="s">
        <v>383</v>
      </c>
      <c r="C45" s="237" t="s">
        <v>384</v>
      </c>
      <c r="D45" s="86">
        <v>23</v>
      </c>
      <c r="E45" s="86">
        <v>15</v>
      </c>
      <c r="F45" s="93">
        <f t="shared" si="1"/>
        <v>38</v>
      </c>
      <c r="G45" s="266">
        <f>ROUND(AVERAGE(5-4*(F45)/(F9)),1)</f>
        <v>3.5</v>
      </c>
      <c r="H45" s="108">
        <f t="shared" si="28"/>
        <v>0.52500000000000002</v>
      </c>
      <c r="I45" s="87">
        <v>28</v>
      </c>
      <c r="J45" s="305">
        <f t="shared" si="29"/>
        <v>1.3</v>
      </c>
      <c r="K45" s="78">
        <v>35</v>
      </c>
      <c r="L45" s="78">
        <v>25</v>
      </c>
      <c r="M45" s="81">
        <f t="shared" si="4"/>
        <v>60</v>
      </c>
      <c r="N45" s="266">
        <f>ROUND(AVERAGE(5-4*(M45)/(M9)),1)</f>
        <v>2.6</v>
      </c>
      <c r="O45" s="108">
        <f t="shared" si="5"/>
        <v>0.39</v>
      </c>
      <c r="P45" s="306" t="e">
        <f>ROUND(5-4*#REF!/10,1)</f>
        <v>#REF!</v>
      </c>
      <c r="Q45" s="314"/>
      <c r="R45" s="86">
        <v>43</v>
      </c>
      <c r="S45" s="86">
        <v>25</v>
      </c>
      <c r="T45" s="93">
        <f t="shared" si="6"/>
        <v>68</v>
      </c>
      <c r="U45" s="106">
        <f>ROUND(AVERAGE(5-4*(T45)/(T9)),1)</f>
        <v>2.2999999999999998</v>
      </c>
      <c r="V45" s="108">
        <f t="shared" si="7"/>
        <v>0.34499999999999997</v>
      </c>
      <c r="W45" s="86">
        <v>75</v>
      </c>
      <c r="X45" s="95">
        <v>80</v>
      </c>
      <c r="Y45" s="96">
        <f t="shared" si="8"/>
        <v>155</v>
      </c>
      <c r="Z45" s="106">
        <f>ROUND(AVERAGE(5-4*(Y45)/(Y9)),1)</f>
        <v>1.9</v>
      </c>
      <c r="AA45" s="108">
        <f t="shared" si="9"/>
        <v>0.28499999999999998</v>
      </c>
      <c r="AB45" s="98">
        <v>27</v>
      </c>
      <c r="AC45" s="106">
        <f t="shared" si="10"/>
        <v>1</v>
      </c>
      <c r="AD45" s="108">
        <f t="shared" si="11"/>
        <v>0.1</v>
      </c>
      <c r="AE45" s="86">
        <v>37</v>
      </c>
      <c r="AF45" s="107">
        <f t="shared" si="12"/>
        <v>2.9</v>
      </c>
      <c r="AG45" s="108">
        <f>AF45*0.3</f>
        <v>0.87</v>
      </c>
      <c r="AH45" s="96">
        <v>23</v>
      </c>
      <c r="AI45" s="93">
        <v>24</v>
      </c>
      <c r="AJ45" s="96">
        <f t="shared" si="14"/>
        <v>47</v>
      </c>
      <c r="AK45" s="106">
        <f>ROUND(AVERAGE(5-4*(AJ45)/(AJ9)),1)</f>
        <v>3.1</v>
      </c>
      <c r="AL45" s="108">
        <f t="shared" si="15"/>
        <v>0.46499999999999997</v>
      </c>
      <c r="AM45" s="93">
        <v>35</v>
      </c>
      <c r="AN45" s="93">
        <v>30</v>
      </c>
      <c r="AO45" s="96">
        <f t="shared" si="16"/>
        <v>65</v>
      </c>
      <c r="AP45" s="106">
        <f>ROUND(AVERAGE(5-4*(AO45)/(AO9)),1)</f>
        <v>2.4</v>
      </c>
      <c r="AQ45" s="158">
        <f t="shared" si="17"/>
        <v>0.36</v>
      </c>
      <c r="AR45" s="93">
        <v>30</v>
      </c>
      <c r="AS45" s="93">
        <v>35</v>
      </c>
      <c r="AT45" s="96">
        <f t="shared" si="18"/>
        <v>65</v>
      </c>
      <c r="AU45" s="148">
        <f>ROUND(AVERAGE(5-4*(AT45)/(AT9)),1)</f>
        <v>2.4</v>
      </c>
      <c r="AV45" s="149">
        <f t="shared" si="19"/>
        <v>0.36</v>
      </c>
      <c r="AW45" s="93">
        <v>90</v>
      </c>
      <c r="AX45" s="93">
        <v>90</v>
      </c>
      <c r="AY45" s="93">
        <v>87</v>
      </c>
      <c r="AZ45" s="207">
        <f t="shared" si="27"/>
        <v>267</v>
      </c>
      <c r="BA45" s="148">
        <f>ROUND(AVERAGE(5-4*(AZ45)/(AZ9)),1)</f>
        <v>1.4</v>
      </c>
      <c r="BB45" s="149">
        <f t="shared" si="21"/>
        <v>0.21</v>
      </c>
      <c r="BC45" s="165">
        <v>27</v>
      </c>
      <c r="BD45" s="148">
        <f>5-(4*BC45/BC9)</f>
        <v>1</v>
      </c>
      <c r="BE45" s="149">
        <f t="shared" si="22"/>
        <v>0.1</v>
      </c>
      <c r="BF45" s="81">
        <v>42</v>
      </c>
      <c r="BG45" s="157">
        <f>ROUND(AVERAGE(5-4*(BF45)/(BF9)),1)</f>
        <v>2.6</v>
      </c>
      <c r="BH45" s="149">
        <f t="shared" si="23"/>
        <v>0.78</v>
      </c>
      <c r="BI45" s="165">
        <f t="shared" si="24"/>
        <v>2.5150000000000001</v>
      </c>
      <c r="BJ45" s="165">
        <f t="shared" si="25"/>
        <v>2.2750000000000004</v>
      </c>
      <c r="BK45" s="165">
        <f t="shared" si="30"/>
        <v>2.3950000000000005</v>
      </c>
      <c r="BL45" s="81" t="s">
        <v>91</v>
      </c>
    </row>
    <row r="46" spans="1:64" s="20" customFormat="1" ht="15" customHeight="1" x14ac:dyDescent="0.3">
      <c r="A46" s="272">
        <v>36</v>
      </c>
      <c r="B46" s="273" t="s">
        <v>385</v>
      </c>
      <c r="C46" s="237" t="s">
        <v>386</v>
      </c>
      <c r="D46" s="86">
        <v>26</v>
      </c>
      <c r="E46" s="86">
        <v>28</v>
      </c>
      <c r="F46" s="93">
        <f t="shared" si="1"/>
        <v>54</v>
      </c>
      <c r="G46" s="266">
        <f>ROUND(AVERAGE(5-4*(F46)/(F9)),1)</f>
        <v>2.8</v>
      </c>
      <c r="H46" s="108">
        <f t="shared" si="28"/>
        <v>0.42</v>
      </c>
      <c r="I46" s="315"/>
      <c r="J46" s="316"/>
      <c r="K46" s="78">
        <v>37</v>
      </c>
      <c r="L46" s="78">
        <v>33</v>
      </c>
      <c r="M46" s="81">
        <f t="shared" si="4"/>
        <v>70</v>
      </c>
      <c r="N46" s="266">
        <f>ROUND(AVERAGE(5-4*(M46)/(M9)),1)</f>
        <v>2.2000000000000002</v>
      </c>
      <c r="O46" s="108">
        <f t="shared" si="5"/>
        <v>0.33</v>
      </c>
      <c r="P46" s="317"/>
      <c r="Q46" s="318"/>
      <c r="R46" s="86">
        <v>32</v>
      </c>
      <c r="S46" s="86">
        <v>30</v>
      </c>
      <c r="T46" s="93">
        <f t="shared" si="6"/>
        <v>62</v>
      </c>
      <c r="U46" s="106">
        <f>ROUND(AVERAGE(5-4*(T46)/(T9)),1)</f>
        <v>2.5</v>
      </c>
      <c r="V46" s="108">
        <f t="shared" si="7"/>
        <v>0.375</v>
      </c>
      <c r="W46" s="86">
        <v>90</v>
      </c>
      <c r="X46" s="95">
        <v>95</v>
      </c>
      <c r="Y46" s="96">
        <f t="shared" si="8"/>
        <v>185</v>
      </c>
      <c r="Z46" s="106">
        <f>ROUND(AVERAGE(5-4*(Y46)/(Y9)),1)</f>
        <v>1.3</v>
      </c>
      <c r="AA46" s="108">
        <f t="shared" si="9"/>
        <v>0.19500000000000001</v>
      </c>
      <c r="AB46" s="98">
        <v>27</v>
      </c>
      <c r="AC46" s="106">
        <f t="shared" si="10"/>
        <v>1</v>
      </c>
      <c r="AD46" s="108">
        <f t="shared" si="11"/>
        <v>0.1</v>
      </c>
      <c r="AE46" s="86">
        <v>51</v>
      </c>
      <c r="AF46" s="107">
        <f t="shared" si="12"/>
        <v>2.1</v>
      </c>
      <c r="AG46" s="108">
        <f t="shared" si="13"/>
        <v>0.63</v>
      </c>
      <c r="AH46" s="96">
        <v>24</v>
      </c>
      <c r="AI46" s="152">
        <v>32</v>
      </c>
      <c r="AJ46" s="96">
        <f t="shared" si="14"/>
        <v>56</v>
      </c>
      <c r="AK46" s="106">
        <f>ROUND(AVERAGE(5-4*(AJ46)/(AJ9)),1)</f>
        <v>2.8</v>
      </c>
      <c r="AL46" s="108">
        <f t="shared" si="15"/>
        <v>0.42</v>
      </c>
      <c r="AM46" s="152">
        <v>30</v>
      </c>
      <c r="AN46" s="152">
        <v>35</v>
      </c>
      <c r="AO46" s="96">
        <f t="shared" si="16"/>
        <v>65</v>
      </c>
      <c r="AP46" s="106">
        <f>ROUND(AVERAGE(5-4*(AO46)/(AO9)),1)</f>
        <v>2.4</v>
      </c>
      <c r="AQ46" s="158">
        <f>AP46*0.15</f>
        <v>0.36</v>
      </c>
      <c r="AR46" s="93">
        <v>30</v>
      </c>
      <c r="AS46" s="96">
        <v>32</v>
      </c>
      <c r="AT46" s="96">
        <f t="shared" si="18"/>
        <v>62</v>
      </c>
      <c r="AU46" s="148">
        <f>ROUND(AVERAGE(5-4*(AT46)/(AT9)),1)</f>
        <v>2.5</v>
      </c>
      <c r="AV46" s="149">
        <f t="shared" si="19"/>
        <v>0.375</v>
      </c>
      <c r="AW46" s="93">
        <v>85</v>
      </c>
      <c r="AX46" s="93">
        <v>85</v>
      </c>
      <c r="AY46" s="93">
        <v>87</v>
      </c>
      <c r="AZ46" s="207">
        <f t="shared" si="27"/>
        <v>257</v>
      </c>
      <c r="BA46" s="148">
        <f>ROUND(AVERAGE(5-4*(AZ46)/(AZ9)),1)</f>
        <v>1.6</v>
      </c>
      <c r="BB46" s="149">
        <f t="shared" si="21"/>
        <v>0.24</v>
      </c>
      <c r="BC46" s="165">
        <v>24</v>
      </c>
      <c r="BD46" s="148">
        <f>5-(4*BC46/BC9)</f>
        <v>1.4444444444444446</v>
      </c>
      <c r="BE46" s="149">
        <f t="shared" si="22"/>
        <v>0.14444444444444446</v>
      </c>
      <c r="BF46" s="81">
        <v>37</v>
      </c>
      <c r="BG46" s="157">
        <f>ROUND(AVERAGE(5-4*(BF46)/(BF9)),1)</f>
        <v>2.9</v>
      </c>
      <c r="BH46" s="149">
        <f t="shared" si="23"/>
        <v>0.87</v>
      </c>
      <c r="BI46" s="165">
        <f t="shared" si="24"/>
        <v>2.0500000000000003</v>
      </c>
      <c r="BJ46" s="165">
        <f t="shared" si="25"/>
        <v>2.4094444444444445</v>
      </c>
      <c r="BK46" s="165">
        <f t="shared" si="30"/>
        <v>2.2297222222222226</v>
      </c>
      <c r="BL46" s="81" t="s">
        <v>91</v>
      </c>
    </row>
    <row r="47" spans="1:64" s="20" customFormat="1" ht="15" customHeight="1" x14ac:dyDescent="0.3">
      <c r="A47" s="272">
        <v>37</v>
      </c>
      <c r="B47" s="273" t="s">
        <v>387</v>
      </c>
      <c r="C47" s="237" t="s">
        <v>388</v>
      </c>
      <c r="D47" s="86">
        <v>30</v>
      </c>
      <c r="E47" s="86">
        <v>28</v>
      </c>
      <c r="F47" s="93">
        <f t="shared" si="1"/>
        <v>58</v>
      </c>
      <c r="G47" s="266">
        <f>ROUND(AVERAGE(5-4*(F47)/(F9)),1)</f>
        <v>2.7</v>
      </c>
      <c r="H47" s="108">
        <f t="shared" si="28"/>
        <v>0.40500000000000003</v>
      </c>
      <c r="I47" s="308"/>
      <c r="J47" s="308"/>
      <c r="K47" s="78">
        <v>41</v>
      </c>
      <c r="L47" s="78">
        <v>25</v>
      </c>
      <c r="M47" s="81">
        <f t="shared" si="4"/>
        <v>66</v>
      </c>
      <c r="N47" s="266">
        <f>ROUND(AVERAGE(5-4*(M47)/(M9)),1)</f>
        <v>2.4</v>
      </c>
      <c r="O47" s="108">
        <f t="shared" si="5"/>
        <v>0.36</v>
      </c>
      <c r="P47" s="308"/>
      <c r="Q47" s="308"/>
      <c r="R47" s="86">
        <v>38</v>
      </c>
      <c r="S47" s="86">
        <v>25</v>
      </c>
      <c r="T47" s="93">
        <f t="shared" si="6"/>
        <v>63</v>
      </c>
      <c r="U47" s="106">
        <f>ROUND(AVERAGE(5-4*(T47)/(T9)),1)</f>
        <v>2.5</v>
      </c>
      <c r="V47" s="108">
        <f t="shared" si="7"/>
        <v>0.375</v>
      </c>
      <c r="W47" s="86">
        <v>83</v>
      </c>
      <c r="X47" s="95">
        <v>85</v>
      </c>
      <c r="Y47" s="96">
        <f t="shared" si="8"/>
        <v>168</v>
      </c>
      <c r="Z47" s="106">
        <f>ROUND(AVERAGE(5-4*(Y47)/(Y9)),1)</f>
        <v>1.6</v>
      </c>
      <c r="AA47" s="108">
        <f t="shared" si="9"/>
        <v>0.24</v>
      </c>
      <c r="AB47" s="98">
        <v>22.5</v>
      </c>
      <c r="AC47" s="106">
        <f t="shared" si="10"/>
        <v>1.6666666666666665</v>
      </c>
      <c r="AD47" s="108">
        <f t="shared" si="11"/>
        <v>0.16666666666666666</v>
      </c>
      <c r="AE47" s="86">
        <v>23</v>
      </c>
      <c r="AF47" s="107">
        <f t="shared" si="12"/>
        <v>3.7</v>
      </c>
      <c r="AG47" s="108">
        <f t="shared" si="13"/>
        <v>1.1100000000000001</v>
      </c>
      <c r="AH47" s="96">
        <v>17</v>
      </c>
      <c r="AI47" s="93">
        <v>30</v>
      </c>
      <c r="AJ47" s="96">
        <f t="shared" si="14"/>
        <v>47</v>
      </c>
      <c r="AK47" s="106">
        <f>ROUND(AVERAGE(5-4*(AJ47)/(AJ9)),1)</f>
        <v>3.1</v>
      </c>
      <c r="AL47" s="108">
        <f t="shared" si="15"/>
        <v>0.46499999999999997</v>
      </c>
      <c r="AM47" s="93">
        <v>30</v>
      </c>
      <c r="AN47" s="93">
        <v>32</v>
      </c>
      <c r="AO47" s="96">
        <f t="shared" si="16"/>
        <v>62</v>
      </c>
      <c r="AP47" s="106">
        <f>ROUND(AVERAGE(5-4*(AO47)/(AO9)),1)</f>
        <v>2.5</v>
      </c>
      <c r="AQ47" s="158">
        <f t="shared" si="17"/>
        <v>0.375</v>
      </c>
      <c r="AR47" s="93">
        <v>34</v>
      </c>
      <c r="AS47" s="93">
        <v>34</v>
      </c>
      <c r="AT47" s="96">
        <f t="shared" si="18"/>
        <v>68</v>
      </c>
      <c r="AU47" s="148">
        <f>ROUND(AVERAGE(5-4*(AT47)/(AT9)),1)</f>
        <v>2.2999999999999998</v>
      </c>
      <c r="AV47" s="149">
        <f t="shared" si="19"/>
        <v>0.34499999999999997</v>
      </c>
      <c r="AW47" s="93">
        <v>80</v>
      </c>
      <c r="AX47" s="93">
        <v>83</v>
      </c>
      <c r="AY47" s="93">
        <v>85</v>
      </c>
      <c r="AZ47" s="207">
        <f t="shared" si="27"/>
        <v>248</v>
      </c>
      <c r="BA47" s="148">
        <f>ROUND(AVERAGE(5-4*(AZ47)/(AZ9)),1)</f>
        <v>1.7</v>
      </c>
      <c r="BB47" s="149">
        <f t="shared" si="21"/>
        <v>0.255</v>
      </c>
      <c r="BC47" s="165">
        <v>27</v>
      </c>
      <c r="BD47" s="148">
        <f>5-(4*BC47/BC9)</f>
        <v>1</v>
      </c>
      <c r="BE47" s="149">
        <f t="shared" si="22"/>
        <v>0.1</v>
      </c>
      <c r="BF47" s="81">
        <v>44</v>
      </c>
      <c r="BG47" s="157">
        <f>ROUND(AVERAGE(5-4*(BF47)/(BF9)),1)</f>
        <v>2.5</v>
      </c>
      <c r="BH47" s="149">
        <f t="shared" si="23"/>
        <v>0.75</v>
      </c>
      <c r="BI47" s="165">
        <f t="shared" si="24"/>
        <v>2.6566666666666672</v>
      </c>
      <c r="BJ47" s="165">
        <f t="shared" si="25"/>
        <v>2.29</v>
      </c>
      <c r="BK47" s="165">
        <f t="shared" si="30"/>
        <v>2.4733333333333336</v>
      </c>
      <c r="BL47" s="81" t="s">
        <v>91</v>
      </c>
    </row>
    <row r="48" spans="1:64" s="20" customFormat="1" ht="14.25" customHeight="1" x14ac:dyDescent="0.3">
      <c r="A48" s="272">
        <v>38</v>
      </c>
      <c r="B48" s="273" t="s">
        <v>389</v>
      </c>
      <c r="C48" s="237" t="s">
        <v>390</v>
      </c>
      <c r="D48" s="202">
        <v>30</v>
      </c>
      <c r="E48" s="202">
        <v>15</v>
      </c>
      <c r="F48" s="207">
        <f>SUM(D48+E48)</f>
        <v>45</v>
      </c>
      <c r="G48" s="267">
        <f>ROUND(AVERAGE(5-4*(F48)/(F9)),1)</f>
        <v>3.2</v>
      </c>
      <c r="H48" s="212">
        <f t="shared" si="28"/>
        <v>0.48</v>
      </c>
      <c r="I48" s="319"/>
      <c r="J48" s="319"/>
      <c r="K48" s="244">
        <v>34</v>
      </c>
      <c r="L48" s="244">
        <v>30</v>
      </c>
      <c r="M48" s="206">
        <f t="shared" si="4"/>
        <v>64</v>
      </c>
      <c r="N48" s="267">
        <f>ROUND(AVERAGE(5-4*(M48)/(M9)),1)</f>
        <v>2.4</v>
      </c>
      <c r="O48" s="212">
        <f t="shared" si="5"/>
        <v>0.36</v>
      </c>
      <c r="P48" s="319"/>
      <c r="Q48" s="319"/>
      <c r="R48" s="202">
        <v>28</v>
      </c>
      <c r="S48" s="202">
        <v>28</v>
      </c>
      <c r="T48" s="207">
        <f t="shared" si="6"/>
        <v>56</v>
      </c>
      <c r="U48" s="209">
        <f>ROUND(AVERAGE(5-4*(T48)/(T9)),1)</f>
        <v>2.8</v>
      </c>
      <c r="V48" s="212">
        <f t="shared" si="7"/>
        <v>0.42</v>
      </c>
      <c r="W48" s="202">
        <v>70</v>
      </c>
      <c r="X48" s="241">
        <v>75</v>
      </c>
      <c r="Y48" s="96">
        <f t="shared" si="8"/>
        <v>145</v>
      </c>
      <c r="Z48" s="209">
        <f>ROUND(AVERAGE(5-4*(Y48)/(Y9)),1)</f>
        <v>2.1</v>
      </c>
      <c r="AA48" s="212">
        <f t="shared" si="9"/>
        <v>0.315</v>
      </c>
      <c r="AB48" s="218">
        <v>22.5</v>
      </c>
      <c r="AC48" s="209">
        <f t="shared" si="10"/>
        <v>1.6666666666666665</v>
      </c>
      <c r="AD48" s="212">
        <f t="shared" si="11"/>
        <v>0.16666666666666666</v>
      </c>
      <c r="AE48" s="202">
        <v>24</v>
      </c>
      <c r="AF48" s="211">
        <f>ROUND(AVERAGE(5-4*(AE48)/(70)),1)</f>
        <v>3.6</v>
      </c>
      <c r="AG48" s="212">
        <f t="shared" si="13"/>
        <v>1.08</v>
      </c>
      <c r="AH48" s="203">
        <v>34</v>
      </c>
      <c r="AI48" s="207">
        <v>28</v>
      </c>
      <c r="AJ48" s="96">
        <f t="shared" si="14"/>
        <v>62</v>
      </c>
      <c r="AK48" s="209">
        <f>ROUND(AVERAGE(5-4*(AJ48)/(AJ9)),1)</f>
        <v>2.5</v>
      </c>
      <c r="AL48" s="212">
        <f t="shared" si="15"/>
        <v>0.375</v>
      </c>
      <c r="AM48" s="207">
        <v>30</v>
      </c>
      <c r="AN48" s="207">
        <v>32</v>
      </c>
      <c r="AO48" s="96">
        <f t="shared" si="16"/>
        <v>62</v>
      </c>
      <c r="AP48" s="209">
        <f>ROUND(AVERAGE(5-4*(AO48)/(AO9)),1)</f>
        <v>2.5</v>
      </c>
      <c r="AQ48" s="215">
        <f t="shared" si="17"/>
        <v>0.375</v>
      </c>
      <c r="AR48" s="207">
        <v>30</v>
      </c>
      <c r="AS48" s="207">
        <v>30</v>
      </c>
      <c r="AT48" s="96">
        <f t="shared" si="18"/>
        <v>60</v>
      </c>
      <c r="AU48" s="213">
        <f>ROUND(AVERAGE(5-4*(AT48)/(AT9)),1)</f>
        <v>2.6</v>
      </c>
      <c r="AV48" s="214">
        <f t="shared" si="19"/>
        <v>0.39</v>
      </c>
      <c r="AW48" s="207">
        <v>85</v>
      </c>
      <c r="AX48" s="207">
        <v>85</v>
      </c>
      <c r="AY48" s="207">
        <v>85</v>
      </c>
      <c r="AZ48" s="207">
        <f t="shared" si="27"/>
        <v>255</v>
      </c>
      <c r="BA48" s="213">
        <f>ROUND(AVERAGE(5-4*(AZ48)/(AZ9)),1)</f>
        <v>1.6</v>
      </c>
      <c r="BB48" s="214">
        <f t="shared" si="21"/>
        <v>0.24</v>
      </c>
      <c r="BC48" s="81">
        <v>22.5</v>
      </c>
      <c r="BD48" s="213">
        <f>5-(4*BC48/BC9)</f>
        <v>1.6666666666666665</v>
      </c>
      <c r="BE48" s="214">
        <f t="shared" si="22"/>
        <v>0.16666666666666666</v>
      </c>
      <c r="BF48" s="206">
        <v>39</v>
      </c>
      <c r="BG48" s="157">
        <f>ROUND(AVERAGE(5-4*(BF48)/(BF9)),1)</f>
        <v>2.8</v>
      </c>
      <c r="BH48" s="149">
        <f t="shared" si="23"/>
        <v>0.84</v>
      </c>
      <c r="BI48" s="165">
        <f t="shared" si="24"/>
        <v>2.8216666666666668</v>
      </c>
      <c r="BJ48" s="165">
        <f t="shared" si="25"/>
        <v>2.3866666666666667</v>
      </c>
      <c r="BK48" s="165">
        <f t="shared" si="30"/>
        <v>2.604166666666667</v>
      </c>
      <c r="BL48" s="81" t="s">
        <v>91</v>
      </c>
    </row>
    <row r="49" spans="1:64" s="20" customFormat="1" ht="15" customHeight="1" x14ac:dyDescent="0.3">
      <c r="A49" s="272">
        <v>39</v>
      </c>
      <c r="B49" s="273" t="s">
        <v>391</v>
      </c>
      <c r="C49" s="237" t="s">
        <v>392</v>
      </c>
      <c r="D49" s="202">
        <v>25</v>
      </c>
      <c r="E49" s="202">
        <v>20</v>
      </c>
      <c r="F49" s="207">
        <f t="shared" si="1"/>
        <v>45</v>
      </c>
      <c r="G49" s="267">
        <f>ROUND(AVERAGE(5-4*(F49)/(F9)),1)</f>
        <v>3.2</v>
      </c>
      <c r="H49" s="212">
        <f t="shared" si="28"/>
        <v>0.48</v>
      </c>
      <c r="I49" s="319"/>
      <c r="J49" s="319"/>
      <c r="K49" s="244">
        <v>36</v>
      </c>
      <c r="L49" s="244">
        <v>30</v>
      </c>
      <c r="M49" s="206">
        <f t="shared" si="4"/>
        <v>66</v>
      </c>
      <c r="N49" s="267">
        <f>ROUND(AVERAGE(5-4*(M49)/(M9)),1)</f>
        <v>2.4</v>
      </c>
      <c r="O49" s="212">
        <f t="shared" si="5"/>
        <v>0.36</v>
      </c>
      <c r="P49" s="319"/>
      <c r="Q49" s="319"/>
      <c r="R49" s="202">
        <v>28</v>
      </c>
      <c r="S49" s="202">
        <v>25</v>
      </c>
      <c r="T49" s="207">
        <f t="shared" si="6"/>
        <v>53</v>
      </c>
      <c r="U49" s="209">
        <f>ROUND(AVERAGE(5-4*(T49)/(T9)),1)</f>
        <v>2.9</v>
      </c>
      <c r="V49" s="212">
        <f t="shared" si="7"/>
        <v>0.435</v>
      </c>
      <c r="W49" s="202">
        <v>75</v>
      </c>
      <c r="X49" s="241">
        <v>80</v>
      </c>
      <c r="Y49" s="96">
        <f t="shared" si="8"/>
        <v>155</v>
      </c>
      <c r="Z49" s="209">
        <f>ROUND(AVERAGE(5-4*(Y49)/(Y9)),1)</f>
        <v>1.9</v>
      </c>
      <c r="AA49" s="212">
        <f t="shared" si="9"/>
        <v>0.28499999999999998</v>
      </c>
      <c r="AB49" s="218">
        <v>22.5</v>
      </c>
      <c r="AC49" s="209">
        <f t="shared" si="10"/>
        <v>1.6666666666666665</v>
      </c>
      <c r="AD49" s="212">
        <f t="shared" si="11"/>
        <v>0.16666666666666666</v>
      </c>
      <c r="AE49" s="202">
        <v>24</v>
      </c>
      <c r="AF49" s="211">
        <f t="shared" si="12"/>
        <v>3.6</v>
      </c>
      <c r="AG49" s="212">
        <f>AF49*0.3</f>
        <v>1.08</v>
      </c>
      <c r="AH49" s="203">
        <v>24</v>
      </c>
      <c r="AI49" s="207">
        <v>30</v>
      </c>
      <c r="AJ49" s="96">
        <f t="shared" si="14"/>
        <v>54</v>
      </c>
      <c r="AK49" s="209">
        <f>ROUND(AVERAGE(5-4*(AJ49)/(AJ9)),1)</f>
        <v>2.8</v>
      </c>
      <c r="AL49" s="212">
        <f t="shared" si="15"/>
        <v>0.42</v>
      </c>
      <c r="AM49" s="207">
        <v>30</v>
      </c>
      <c r="AN49" s="207">
        <v>35</v>
      </c>
      <c r="AO49" s="96">
        <f t="shared" si="16"/>
        <v>65</v>
      </c>
      <c r="AP49" s="209">
        <f>ROUND(AVERAGE(5-4*(AO49)/(AO9)),1)</f>
        <v>2.4</v>
      </c>
      <c r="AQ49" s="215">
        <f t="shared" si="17"/>
        <v>0.36</v>
      </c>
      <c r="AR49" s="207">
        <v>35</v>
      </c>
      <c r="AS49" s="207">
        <v>40</v>
      </c>
      <c r="AT49" s="96">
        <f t="shared" si="18"/>
        <v>75</v>
      </c>
      <c r="AU49" s="213">
        <f>ROUND(AVERAGE(5-4*(AT49)/(AT9)),1)</f>
        <v>2</v>
      </c>
      <c r="AV49" s="214">
        <f t="shared" si="19"/>
        <v>0.3</v>
      </c>
      <c r="AW49" s="207">
        <v>80</v>
      </c>
      <c r="AX49" s="207">
        <v>80</v>
      </c>
      <c r="AY49" s="207">
        <v>100</v>
      </c>
      <c r="AZ49" s="207">
        <f t="shared" si="27"/>
        <v>260</v>
      </c>
      <c r="BA49" s="213">
        <f>ROUND(AVERAGE(5-4*(AZ49)/(AZ9)),1)</f>
        <v>1.5</v>
      </c>
      <c r="BB49" s="214">
        <f t="shared" si="21"/>
        <v>0.22499999999999998</v>
      </c>
      <c r="BC49" s="216">
        <v>27</v>
      </c>
      <c r="BD49" s="213">
        <f>5-(4*BC49/BC9)</f>
        <v>1</v>
      </c>
      <c r="BE49" s="214">
        <f t="shared" si="22"/>
        <v>0.1</v>
      </c>
      <c r="BF49" s="206">
        <v>47</v>
      </c>
      <c r="BG49" s="157">
        <f>ROUND(AVERAGE(5-4*(BF49)/(BF9)),1)</f>
        <v>2.2999999999999998</v>
      </c>
      <c r="BH49" s="149">
        <f t="shared" si="23"/>
        <v>0.69</v>
      </c>
      <c r="BI49" s="165">
        <f t="shared" si="24"/>
        <v>2.8066666666666666</v>
      </c>
      <c r="BJ49" s="216">
        <f t="shared" si="25"/>
        <v>2.0950000000000002</v>
      </c>
      <c r="BK49" s="165">
        <v>2.4</v>
      </c>
      <c r="BL49" s="81" t="s">
        <v>91</v>
      </c>
    </row>
    <row r="50" spans="1:64" s="20" customFormat="1" ht="15" customHeight="1" x14ac:dyDescent="0.3">
      <c r="A50" s="387">
        <v>40</v>
      </c>
      <c r="B50" s="328" t="s">
        <v>393</v>
      </c>
      <c r="C50" s="329" t="s">
        <v>394</v>
      </c>
      <c r="D50" s="370">
        <v>29</v>
      </c>
      <c r="E50" s="370">
        <v>18</v>
      </c>
      <c r="F50" s="331">
        <f t="shared" si="1"/>
        <v>47</v>
      </c>
      <c r="G50" s="332">
        <f>ROUND(AVERAGE(5-4*(F50)/(F9)),1)</f>
        <v>3.1</v>
      </c>
      <c r="H50" s="337">
        <f t="shared" si="28"/>
        <v>0.46499999999999997</v>
      </c>
      <c r="I50" s="360"/>
      <c r="J50" s="360"/>
      <c r="K50" s="369">
        <v>35</v>
      </c>
      <c r="L50" s="369">
        <v>25</v>
      </c>
      <c r="M50" s="336">
        <f t="shared" si="4"/>
        <v>60</v>
      </c>
      <c r="N50" s="332">
        <f>ROUND(AVERAGE(5-4*(M50)/(M9)),1)</f>
        <v>2.6</v>
      </c>
      <c r="O50" s="337">
        <f t="shared" si="5"/>
        <v>0.39</v>
      </c>
      <c r="P50" s="360"/>
      <c r="Q50" s="360"/>
      <c r="R50" s="370">
        <v>28</v>
      </c>
      <c r="S50" s="370">
        <v>30</v>
      </c>
      <c r="T50" s="331">
        <f t="shared" si="6"/>
        <v>58</v>
      </c>
      <c r="U50" s="341">
        <f>ROUND(AVERAGE(5-4*(T50)/(T9)),1)</f>
        <v>2.7</v>
      </c>
      <c r="V50" s="337">
        <f t="shared" si="7"/>
        <v>0.40500000000000003</v>
      </c>
      <c r="W50" s="370">
        <v>80</v>
      </c>
      <c r="X50" s="370">
        <v>82</v>
      </c>
      <c r="Y50" s="340">
        <f t="shared" si="8"/>
        <v>162</v>
      </c>
      <c r="Z50" s="341">
        <f>ROUND(AVERAGE(5-4*(Y50)/(Y9)),1)</f>
        <v>1.8</v>
      </c>
      <c r="AA50" s="337">
        <f t="shared" si="9"/>
        <v>0.27</v>
      </c>
      <c r="AB50" s="342">
        <v>19.5</v>
      </c>
      <c r="AC50" s="341">
        <f t="shared" si="10"/>
        <v>2.1111111111111112</v>
      </c>
      <c r="AD50" s="337">
        <f>AC50*0.1</f>
        <v>0.21111111111111114</v>
      </c>
      <c r="AE50" s="370"/>
      <c r="AF50" s="343">
        <f t="shared" si="12"/>
        <v>5</v>
      </c>
      <c r="AG50" s="337">
        <f t="shared" si="13"/>
        <v>1.5</v>
      </c>
      <c r="AH50" s="340"/>
      <c r="AI50" s="331"/>
      <c r="AJ50" s="340"/>
      <c r="AK50" s="341">
        <f>ROUND(AVERAGE(5-4*(AJ50)/(AJ9)),1)</f>
        <v>5</v>
      </c>
      <c r="AL50" s="337">
        <f t="shared" si="15"/>
        <v>0.75</v>
      </c>
      <c r="AM50" s="331"/>
      <c r="AN50" s="331"/>
      <c r="AO50" s="340"/>
      <c r="AP50" s="341">
        <f>ROUND(AVERAGE(5-4*(AO50)/(AO9)),1)</f>
        <v>5</v>
      </c>
      <c r="AQ50" s="346">
        <f t="shared" si="17"/>
        <v>0.75</v>
      </c>
      <c r="AR50" s="331"/>
      <c r="AS50" s="331"/>
      <c r="AT50" s="340"/>
      <c r="AU50" s="345">
        <f>ROUND(AVERAGE(5-4*(AT50)/(AT9)),1)</f>
        <v>5</v>
      </c>
      <c r="AV50" s="346">
        <f t="shared" si="19"/>
        <v>0.75</v>
      </c>
      <c r="AW50" s="331"/>
      <c r="AX50" s="331"/>
      <c r="AY50" s="331"/>
      <c r="AZ50" s="331"/>
      <c r="BA50" s="345">
        <f>ROUND(AVERAGE(5-4*(AZ50)/(AZ9)),1)</f>
        <v>5</v>
      </c>
      <c r="BB50" s="346">
        <f t="shared" si="21"/>
        <v>0.75</v>
      </c>
      <c r="BC50" s="336"/>
      <c r="BD50" s="345">
        <f>5-(4*BC50/BC9)</f>
        <v>5</v>
      </c>
      <c r="BE50" s="346">
        <f t="shared" si="22"/>
        <v>0.5</v>
      </c>
      <c r="BF50" s="336"/>
      <c r="BG50" s="349">
        <f>ROUND(AVERAGE(5-4*(BF50)/(BF9)),1)</f>
        <v>5</v>
      </c>
      <c r="BH50" s="346">
        <f t="shared" si="23"/>
        <v>1.5</v>
      </c>
      <c r="BI50" s="348" t="s">
        <v>93</v>
      </c>
      <c r="BJ50" s="348" t="s">
        <v>93</v>
      </c>
      <c r="BK50" s="348" t="s">
        <v>95</v>
      </c>
      <c r="BL50" s="336" t="s">
        <v>518</v>
      </c>
    </row>
    <row r="51" spans="1:64" s="20" customFormat="1" ht="15" customHeight="1" x14ac:dyDescent="0.3">
      <c r="A51" s="63">
        <v>41</v>
      </c>
      <c r="B51" s="273" t="s">
        <v>395</v>
      </c>
      <c r="C51" s="237" t="s">
        <v>396</v>
      </c>
      <c r="D51" s="241">
        <v>32</v>
      </c>
      <c r="E51" s="241">
        <v>26</v>
      </c>
      <c r="F51" s="207">
        <f t="shared" si="1"/>
        <v>58</v>
      </c>
      <c r="G51" s="267">
        <f>ROUND(AVERAGE(5-4*(F51)/(F9)),1)</f>
        <v>2.7</v>
      </c>
      <c r="H51" s="212">
        <f t="shared" si="28"/>
        <v>0.40500000000000003</v>
      </c>
      <c r="I51" s="319"/>
      <c r="J51" s="319"/>
      <c r="K51" s="244">
        <v>30</v>
      </c>
      <c r="L51" s="244">
        <v>27</v>
      </c>
      <c r="M51" s="206">
        <f t="shared" si="4"/>
        <v>57</v>
      </c>
      <c r="N51" s="267">
        <f>ROUND(AVERAGE(5-4*(M51)/(M9)),1)</f>
        <v>2.7</v>
      </c>
      <c r="O51" s="212">
        <f t="shared" si="5"/>
        <v>0.40500000000000003</v>
      </c>
      <c r="P51" s="319"/>
      <c r="Q51" s="319"/>
      <c r="R51" s="241">
        <v>35</v>
      </c>
      <c r="S51" s="241">
        <v>28</v>
      </c>
      <c r="T51" s="207">
        <f t="shared" si="6"/>
        <v>63</v>
      </c>
      <c r="U51" s="209">
        <f>ROUND(AVERAGE(5-4*(T51)/(T9)),1)</f>
        <v>2.5</v>
      </c>
      <c r="V51" s="212">
        <f t="shared" si="7"/>
        <v>0.375</v>
      </c>
      <c r="W51" s="241">
        <v>70</v>
      </c>
      <c r="X51" s="241">
        <v>90</v>
      </c>
      <c r="Y51" s="96">
        <f t="shared" si="8"/>
        <v>160</v>
      </c>
      <c r="Z51" s="209">
        <f>ROUND(AVERAGE(5-4*(Y51)/(Y9)),1)</f>
        <v>1.8</v>
      </c>
      <c r="AA51" s="212">
        <f t="shared" si="9"/>
        <v>0.27</v>
      </c>
      <c r="AB51" s="218">
        <v>24</v>
      </c>
      <c r="AC51" s="209">
        <f t="shared" si="10"/>
        <v>1.4444444444444446</v>
      </c>
      <c r="AD51" s="212">
        <f>AC51*0.1</f>
        <v>0.14444444444444446</v>
      </c>
      <c r="AE51" s="241">
        <v>19</v>
      </c>
      <c r="AF51" s="211">
        <f t="shared" si="12"/>
        <v>3.9</v>
      </c>
      <c r="AG51" s="212">
        <f t="shared" si="13"/>
        <v>1.17</v>
      </c>
      <c r="AH51" s="203">
        <v>21</v>
      </c>
      <c r="AI51" s="207">
        <v>27</v>
      </c>
      <c r="AJ51" s="96">
        <f t="shared" si="14"/>
        <v>48</v>
      </c>
      <c r="AK51" s="209">
        <f>ROUND(AVERAGE(5-4*(AJ51)/(AJ9)),1)</f>
        <v>3.1</v>
      </c>
      <c r="AL51" s="212">
        <f t="shared" si="15"/>
        <v>0.46499999999999997</v>
      </c>
      <c r="AM51" s="207">
        <v>35</v>
      </c>
      <c r="AN51" s="207">
        <v>34</v>
      </c>
      <c r="AO51" s="96">
        <f t="shared" si="16"/>
        <v>69</v>
      </c>
      <c r="AP51" s="209">
        <f>ROUND(AVERAGE(5-4*(AO51)/(AO9)),1)</f>
        <v>2.2000000000000002</v>
      </c>
      <c r="AQ51" s="214">
        <f t="shared" si="17"/>
        <v>0.33</v>
      </c>
      <c r="AR51" s="207">
        <v>32</v>
      </c>
      <c r="AS51" s="207">
        <v>35</v>
      </c>
      <c r="AT51" s="96">
        <f t="shared" si="18"/>
        <v>67</v>
      </c>
      <c r="AU51" s="213">
        <f>ROUND(AVERAGE(5-4*(AT51)/(AT9)),1)</f>
        <v>2.2999999999999998</v>
      </c>
      <c r="AV51" s="214">
        <f t="shared" si="19"/>
        <v>0.34499999999999997</v>
      </c>
      <c r="AW51" s="207">
        <v>82</v>
      </c>
      <c r="AX51" s="207">
        <v>82</v>
      </c>
      <c r="AY51" s="207">
        <v>88</v>
      </c>
      <c r="AZ51" s="207">
        <f t="shared" si="27"/>
        <v>252</v>
      </c>
      <c r="BA51" s="213">
        <f>ROUND(AVERAGE(5-4*(AZ51)/(AZ9)),1)</f>
        <v>1.6</v>
      </c>
      <c r="BB51" s="214">
        <f t="shared" si="21"/>
        <v>0.24</v>
      </c>
      <c r="BC51" s="216">
        <v>27</v>
      </c>
      <c r="BD51" s="213">
        <f>5-(4*BC51/BC9)</f>
        <v>1</v>
      </c>
      <c r="BE51" s="214">
        <f t="shared" si="22"/>
        <v>0.1</v>
      </c>
      <c r="BF51" s="206">
        <v>38</v>
      </c>
      <c r="BG51" s="157">
        <f>ROUND(AVERAGE(5-4*(BF51)/(BF9)),1)</f>
        <v>2.8</v>
      </c>
      <c r="BH51" s="149">
        <f t="shared" si="23"/>
        <v>0.84</v>
      </c>
      <c r="BI51" s="165">
        <f t="shared" si="24"/>
        <v>2.7694444444444444</v>
      </c>
      <c r="BJ51" s="216">
        <f t="shared" si="25"/>
        <v>2.3199999999999998</v>
      </c>
      <c r="BK51" s="165">
        <f t="shared" si="30"/>
        <v>2.5447222222222221</v>
      </c>
      <c r="BL51" s="206" t="s">
        <v>91</v>
      </c>
    </row>
    <row r="52" spans="1:64" s="20" customFormat="1" ht="15.75" customHeight="1" x14ac:dyDescent="0.3">
      <c r="A52" s="272">
        <v>42</v>
      </c>
      <c r="B52" s="273" t="s">
        <v>397</v>
      </c>
      <c r="C52" s="237" t="s">
        <v>398</v>
      </c>
      <c r="D52" s="202">
        <v>12</v>
      </c>
      <c r="E52" s="202">
        <v>22</v>
      </c>
      <c r="F52" s="207">
        <f t="shared" si="1"/>
        <v>34</v>
      </c>
      <c r="G52" s="267">
        <f>ROUND(AVERAGE(5-4*(F52)/(F9)),1)</f>
        <v>3.6</v>
      </c>
      <c r="H52" s="212">
        <f t="shared" si="28"/>
        <v>0.54</v>
      </c>
      <c r="I52" s="319"/>
      <c r="J52" s="319"/>
      <c r="K52" s="205">
        <v>31</v>
      </c>
      <c r="L52" s="205">
        <v>25</v>
      </c>
      <c r="M52" s="206">
        <f t="shared" si="4"/>
        <v>56</v>
      </c>
      <c r="N52" s="267">
        <f>ROUND(AVERAGE(5-4*(M52)/(M9)),1)</f>
        <v>2.8</v>
      </c>
      <c r="O52" s="212">
        <f t="shared" si="5"/>
        <v>0.42</v>
      </c>
      <c r="P52" s="319"/>
      <c r="Q52" s="319"/>
      <c r="R52" s="202">
        <v>32</v>
      </c>
      <c r="S52" s="202">
        <v>28</v>
      </c>
      <c r="T52" s="207">
        <f t="shared" si="6"/>
        <v>60</v>
      </c>
      <c r="U52" s="209">
        <f>ROUND(AVERAGE(5-4*(T52)/(T9)),1)</f>
        <v>2.6</v>
      </c>
      <c r="V52" s="212">
        <f t="shared" si="7"/>
        <v>0.39</v>
      </c>
      <c r="W52" s="202">
        <v>80</v>
      </c>
      <c r="X52" s="208">
        <v>80</v>
      </c>
      <c r="Y52" s="96">
        <f t="shared" si="8"/>
        <v>160</v>
      </c>
      <c r="Z52" s="209">
        <f>ROUND(AVERAGE(5-4*(Y52)/(Y9)),1)</f>
        <v>1.8</v>
      </c>
      <c r="AA52" s="212">
        <f t="shared" si="9"/>
        <v>0.27</v>
      </c>
      <c r="AB52" s="218">
        <v>24</v>
      </c>
      <c r="AC52" s="209">
        <f t="shared" si="10"/>
        <v>1.4444444444444446</v>
      </c>
      <c r="AD52" s="212">
        <f t="shared" si="11"/>
        <v>0.14444444444444446</v>
      </c>
      <c r="AE52" s="202">
        <v>24</v>
      </c>
      <c r="AF52" s="211">
        <f t="shared" si="12"/>
        <v>3.6</v>
      </c>
      <c r="AG52" s="212">
        <f t="shared" si="13"/>
        <v>1.08</v>
      </c>
      <c r="AH52" s="203">
        <v>25</v>
      </c>
      <c r="AI52" s="207">
        <v>24</v>
      </c>
      <c r="AJ52" s="96">
        <f t="shared" si="14"/>
        <v>49</v>
      </c>
      <c r="AK52" s="209">
        <f>ROUND(AVERAGE(5-4*(AJ52)/(AJ9)),1)</f>
        <v>3</v>
      </c>
      <c r="AL52" s="212">
        <f t="shared" si="15"/>
        <v>0.44999999999999996</v>
      </c>
      <c r="AM52" s="207">
        <v>29</v>
      </c>
      <c r="AN52" s="207">
        <v>35</v>
      </c>
      <c r="AO52" s="203">
        <f t="shared" si="16"/>
        <v>64</v>
      </c>
      <c r="AP52" s="209">
        <f>ROUND(AVERAGE(5-4*(AO52)/(AO9)),1)</f>
        <v>2.4</v>
      </c>
      <c r="AQ52" s="215">
        <f t="shared" si="17"/>
        <v>0.36</v>
      </c>
      <c r="AR52" s="207">
        <v>34</v>
      </c>
      <c r="AS52" s="207">
        <v>33</v>
      </c>
      <c r="AT52" s="96">
        <f t="shared" si="18"/>
        <v>67</v>
      </c>
      <c r="AU52" s="213">
        <f>ROUND(AVERAGE(5-4*(AT52)/(AT9)),1)</f>
        <v>2.2999999999999998</v>
      </c>
      <c r="AV52" s="214">
        <f>AU52*0.15</f>
        <v>0.34499999999999997</v>
      </c>
      <c r="AW52" s="207">
        <v>80</v>
      </c>
      <c r="AX52" s="207">
        <v>82</v>
      </c>
      <c r="AY52" s="207">
        <v>90</v>
      </c>
      <c r="AZ52" s="207">
        <f t="shared" si="27"/>
        <v>252</v>
      </c>
      <c r="BA52" s="213">
        <f>ROUND(AVERAGE(5-4*(AZ52)/(AZ9)),1)</f>
        <v>1.6</v>
      </c>
      <c r="BB52" s="214">
        <f t="shared" si="21"/>
        <v>0.24</v>
      </c>
      <c r="BC52" s="216">
        <v>27</v>
      </c>
      <c r="BD52" s="213">
        <f>5-(4*BC52/BC9)</f>
        <v>1</v>
      </c>
      <c r="BE52" s="214">
        <f t="shared" si="22"/>
        <v>0.1</v>
      </c>
      <c r="BF52" s="206">
        <v>16</v>
      </c>
      <c r="BG52" s="157">
        <f>ROUND(AVERAGE(5-4*(BF52)/(BF9)),1)</f>
        <v>4.0999999999999996</v>
      </c>
      <c r="BH52" s="149">
        <f t="shared" si="23"/>
        <v>1.2299999999999998</v>
      </c>
      <c r="BI52" s="165">
        <f t="shared" si="24"/>
        <v>2.8444444444444446</v>
      </c>
      <c r="BJ52" s="216">
        <f t="shared" si="25"/>
        <v>2.7249999999999996</v>
      </c>
      <c r="BK52" s="165">
        <v>2.7</v>
      </c>
      <c r="BL52" s="206" t="s">
        <v>91</v>
      </c>
    </row>
    <row r="53" spans="1:64" s="20" customFormat="1" ht="13.5" customHeight="1" x14ac:dyDescent="0.3">
      <c r="A53" s="272">
        <v>43</v>
      </c>
      <c r="B53" s="273" t="s">
        <v>399</v>
      </c>
      <c r="C53" s="237" t="s">
        <v>400</v>
      </c>
      <c r="D53" s="202">
        <v>31</v>
      </c>
      <c r="E53" s="202">
        <v>37</v>
      </c>
      <c r="F53" s="207">
        <f t="shared" si="1"/>
        <v>68</v>
      </c>
      <c r="G53" s="267">
        <f>ROUND(AVERAGE(5-4*(F53)/(F9)),1)</f>
        <v>2.2999999999999998</v>
      </c>
      <c r="H53" s="212">
        <f t="shared" si="28"/>
        <v>0.34499999999999997</v>
      </c>
      <c r="I53" s="319"/>
      <c r="J53" s="319"/>
      <c r="K53" s="205">
        <v>38</v>
      </c>
      <c r="L53" s="205">
        <v>32</v>
      </c>
      <c r="M53" s="206">
        <f t="shared" si="4"/>
        <v>70</v>
      </c>
      <c r="N53" s="267">
        <f>ROUND(AVERAGE(5-4*(M53)/(M9)),1)</f>
        <v>2.2000000000000002</v>
      </c>
      <c r="O53" s="212">
        <f t="shared" si="5"/>
        <v>0.33</v>
      </c>
      <c r="P53" s="319"/>
      <c r="Q53" s="319"/>
      <c r="R53" s="202">
        <v>34</v>
      </c>
      <c r="S53" s="202">
        <v>33</v>
      </c>
      <c r="T53" s="207">
        <f t="shared" si="6"/>
        <v>67</v>
      </c>
      <c r="U53" s="209">
        <f>ROUND(AVERAGE(5-4*(T53)/(T9)),1)</f>
        <v>2.2999999999999998</v>
      </c>
      <c r="V53" s="212">
        <f t="shared" si="7"/>
        <v>0.34499999999999997</v>
      </c>
      <c r="W53" s="202">
        <v>100</v>
      </c>
      <c r="X53" s="208">
        <v>100</v>
      </c>
      <c r="Y53" s="96">
        <f t="shared" si="8"/>
        <v>200</v>
      </c>
      <c r="Z53" s="209">
        <f>ROUND(AVERAGE(5-4*(Y53)/(Y9)),1)</f>
        <v>1</v>
      </c>
      <c r="AA53" s="212">
        <f t="shared" si="9"/>
        <v>0.15</v>
      </c>
      <c r="AB53" s="218">
        <v>27</v>
      </c>
      <c r="AC53" s="209">
        <f t="shared" si="10"/>
        <v>1</v>
      </c>
      <c r="AD53" s="212">
        <f t="shared" si="11"/>
        <v>0.1</v>
      </c>
      <c r="AE53" s="202">
        <v>51</v>
      </c>
      <c r="AF53" s="211">
        <f t="shared" si="12"/>
        <v>2.1</v>
      </c>
      <c r="AG53" s="212">
        <f t="shared" si="13"/>
        <v>0.63</v>
      </c>
      <c r="AH53" s="203">
        <v>36</v>
      </c>
      <c r="AI53" s="207">
        <v>24</v>
      </c>
      <c r="AJ53" s="96">
        <f t="shared" si="14"/>
        <v>60</v>
      </c>
      <c r="AK53" s="209">
        <f>ROUND(AVERAGE(5-4*(AJ53)/(AJ9)),1)</f>
        <v>2.6</v>
      </c>
      <c r="AL53" s="212">
        <f t="shared" si="15"/>
        <v>0.39</v>
      </c>
      <c r="AM53" s="207">
        <v>35</v>
      </c>
      <c r="AN53" s="207">
        <v>40</v>
      </c>
      <c r="AO53" s="203">
        <f t="shared" si="16"/>
        <v>75</v>
      </c>
      <c r="AP53" s="209">
        <f>ROUND(AVERAGE(5-4*(AO53)/(AO9)),1)</f>
        <v>2</v>
      </c>
      <c r="AQ53" s="215">
        <f t="shared" si="17"/>
        <v>0.3</v>
      </c>
      <c r="AR53" s="207">
        <v>38</v>
      </c>
      <c r="AS53" s="207">
        <v>42</v>
      </c>
      <c r="AT53" s="96">
        <f t="shared" si="18"/>
        <v>80</v>
      </c>
      <c r="AU53" s="213">
        <f>ROUND(AVERAGE(5-4*(AT53)/(AT9)),1)</f>
        <v>1.8</v>
      </c>
      <c r="AV53" s="214">
        <f t="shared" si="19"/>
        <v>0.27</v>
      </c>
      <c r="AW53" s="207">
        <v>95</v>
      </c>
      <c r="AX53" s="207">
        <v>100</v>
      </c>
      <c r="AY53" s="207">
        <v>88</v>
      </c>
      <c r="AZ53" s="207">
        <f t="shared" si="27"/>
        <v>283</v>
      </c>
      <c r="BA53" s="213">
        <f>ROUND(AVERAGE(5-4*(AZ53)/(AZ9)),1)</f>
        <v>1.2</v>
      </c>
      <c r="BB53" s="214">
        <f t="shared" si="21"/>
        <v>0.18</v>
      </c>
      <c r="BC53" s="216">
        <v>27</v>
      </c>
      <c r="BD53" s="213">
        <f>5-(4*BC53/BC9)</f>
        <v>1</v>
      </c>
      <c r="BE53" s="214">
        <f t="shared" si="22"/>
        <v>0.1</v>
      </c>
      <c r="BF53" s="206">
        <v>44</v>
      </c>
      <c r="BG53" s="157">
        <f>ROUND(AVERAGE(5-4*(BF53)/(BF9)),1)</f>
        <v>2.5</v>
      </c>
      <c r="BH53" s="149">
        <f t="shared" si="23"/>
        <v>0.75</v>
      </c>
      <c r="BI53" s="165">
        <f t="shared" si="24"/>
        <v>1.9</v>
      </c>
      <c r="BJ53" s="216">
        <f t="shared" si="25"/>
        <v>1.99</v>
      </c>
      <c r="BK53" s="165">
        <f t="shared" si="30"/>
        <v>1.9449999999999998</v>
      </c>
      <c r="BL53" s="206" t="s">
        <v>91</v>
      </c>
    </row>
    <row r="54" spans="1:64" ht="15.75" customHeight="1" x14ac:dyDescent="0.3">
      <c r="A54" s="272">
        <v>44</v>
      </c>
      <c r="B54" s="273" t="s">
        <v>401</v>
      </c>
      <c r="C54" s="237" t="s">
        <v>402</v>
      </c>
      <c r="D54" s="202">
        <v>25</v>
      </c>
      <c r="E54" s="202">
        <v>14</v>
      </c>
      <c r="F54" s="207">
        <f t="shared" si="1"/>
        <v>39</v>
      </c>
      <c r="G54" s="267">
        <f>ROUND(AVERAGE(5-4*(F54)/(F9)),1)</f>
        <v>3.4</v>
      </c>
      <c r="H54" s="212">
        <f t="shared" si="28"/>
        <v>0.51</v>
      </c>
      <c r="I54" s="319"/>
      <c r="J54" s="319"/>
      <c r="K54" s="205">
        <v>36</v>
      </c>
      <c r="L54" s="205">
        <v>30</v>
      </c>
      <c r="M54" s="206">
        <f t="shared" si="4"/>
        <v>66</v>
      </c>
      <c r="N54" s="267">
        <f>ROUND(AVERAGE(5-4*(M54)/(M9)),1)</f>
        <v>2.4</v>
      </c>
      <c r="O54" s="212">
        <f t="shared" si="5"/>
        <v>0.36</v>
      </c>
      <c r="P54" s="319"/>
      <c r="Q54" s="319"/>
      <c r="R54" s="202">
        <v>32</v>
      </c>
      <c r="S54" s="202">
        <v>32</v>
      </c>
      <c r="T54" s="207">
        <f t="shared" si="6"/>
        <v>64</v>
      </c>
      <c r="U54" s="209">
        <f>ROUND(AVERAGE(5-4*(T54)/(T9)),1)</f>
        <v>2.4</v>
      </c>
      <c r="V54" s="212">
        <f t="shared" si="7"/>
        <v>0.36</v>
      </c>
      <c r="W54" s="202">
        <v>80</v>
      </c>
      <c r="X54" s="208">
        <v>80</v>
      </c>
      <c r="Y54" s="96">
        <f t="shared" si="8"/>
        <v>160</v>
      </c>
      <c r="Z54" s="209">
        <f>ROUND(AVERAGE(5-4*(Y54)/(Y9)),1)</f>
        <v>1.8</v>
      </c>
      <c r="AA54" s="212">
        <f t="shared" si="9"/>
        <v>0.27</v>
      </c>
      <c r="AB54" s="218">
        <v>25.5</v>
      </c>
      <c r="AC54" s="209">
        <f t="shared" si="10"/>
        <v>1.2222222222222223</v>
      </c>
      <c r="AD54" s="212">
        <f t="shared" si="11"/>
        <v>0.12222222222222223</v>
      </c>
      <c r="AE54" s="202">
        <v>25</v>
      </c>
      <c r="AF54" s="211">
        <f t="shared" si="12"/>
        <v>3.6</v>
      </c>
      <c r="AG54" s="212">
        <f t="shared" si="13"/>
        <v>1.08</v>
      </c>
      <c r="AH54" s="203">
        <v>17</v>
      </c>
      <c r="AI54" s="207">
        <v>26</v>
      </c>
      <c r="AJ54" s="96">
        <f t="shared" si="14"/>
        <v>43</v>
      </c>
      <c r="AK54" s="209">
        <f>ROUND(AVERAGE(5-4*(AJ54)/(AJ9)),1)</f>
        <v>3.3</v>
      </c>
      <c r="AL54" s="212">
        <f t="shared" si="15"/>
        <v>0.49499999999999994</v>
      </c>
      <c r="AM54" s="207">
        <v>30</v>
      </c>
      <c r="AN54" s="207">
        <v>32</v>
      </c>
      <c r="AO54" s="203">
        <f t="shared" si="16"/>
        <v>62</v>
      </c>
      <c r="AP54" s="209">
        <f>ROUND(AVERAGE(5-4*(AO54)/(AO9)),1)</f>
        <v>2.5</v>
      </c>
      <c r="AQ54" s="215">
        <f t="shared" si="17"/>
        <v>0.375</v>
      </c>
      <c r="AR54" s="207">
        <v>32</v>
      </c>
      <c r="AS54" s="207">
        <v>37</v>
      </c>
      <c r="AT54" s="96">
        <f t="shared" si="18"/>
        <v>69</v>
      </c>
      <c r="AU54" s="213">
        <f>ROUND(AVERAGE(5-4*(AT54)/(AT9)),1)</f>
        <v>2.2000000000000002</v>
      </c>
      <c r="AV54" s="214">
        <f t="shared" si="19"/>
        <v>0.33</v>
      </c>
      <c r="AW54" s="207">
        <v>80</v>
      </c>
      <c r="AX54" s="207">
        <v>80</v>
      </c>
      <c r="AY54" s="207">
        <v>85</v>
      </c>
      <c r="AZ54" s="207">
        <f t="shared" si="27"/>
        <v>245</v>
      </c>
      <c r="BA54" s="213">
        <f>ROUND(AVERAGE(5-4*(AZ54)/(AZ9)),1)</f>
        <v>1.7</v>
      </c>
      <c r="BB54" s="214">
        <f t="shared" si="21"/>
        <v>0.255</v>
      </c>
      <c r="BC54" s="216">
        <v>27</v>
      </c>
      <c r="BD54" s="213">
        <f>5-(4*BC54/BC9)</f>
        <v>1</v>
      </c>
      <c r="BE54" s="214">
        <f t="shared" si="22"/>
        <v>0.1</v>
      </c>
      <c r="BF54" s="206">
        <v>46</v>
      </c>
      <c r="BG54" s="157">
        <f>ROUND(AVERAGE(5-4*(BF54)/(BF9)),1)</f>
        <v>2.4</v>
      </c>
      <c r="BH54" s="149">
        <f t="shared" si="23"/>
        <v>0.72</v>
      </c>
      <c r="BI54" s="165">
        <f t="shared" si="24"/>
        <v>2.7022222222222223</v>
      </c>
      <c r="BJ54" s="216">
        <f t="shared" si="25"/>
        <v>2.2750000000000004</v>
      </c>
      <c r="BK54" s="165">
        <f t="shared" si="30"/>
        <v>2.4886111111111111</v>
      </c>
      <c r="BL54" s="206" t="s">
        <v>91</v>
      </c>
    </row>
    <row r="55" spans="1:64" ht="12.75" customHeight="1" x14ac:dyDescent="0.3">
      <c r="A55" s="272">
        <v>45</v>
      </c>
      <c r="B55" s="273" t="s">
        <v>403</v>
      </c>
      <c r="C55" s="237" t="s">
        <v>404</v>
      </c>
      <c r="D55" s="202">
        <v>11</v>
      </c>
      <c r="E55" s="202">
        <v>29</v>
      </c>
      <c r="F55" s="207">
        <f t="shared" si="1"/>
        <v>40</v>
      </c>
      <c r="G55" s="267">
        <f>ROUND(AVERAGE(5-4*(F55)/(F9)),1)</f>
        <v>3.4</v>
      </c>
      <c r="H55" s="212">
        <f t="shared" si="28"/>
        <v>0.51</v>
      </c>
      <c r="I55" s="319"/>
      <c r="J55" s="319"/>
      <c r="K55" s="205">
        <v>37</v>
      </c>
      <c r="L55" s="205">
        <v>29</v>
      </c>
      <c r="M55" s="206">
        <f t="shared" si="4"/>
        <v>66</v>
      </c>
      <c r="N55" s="267">
        <f>ROUND(AVERAGE(5-4*(M55)/(M9)),1)</f>
        <v>2.4</v>
      </c>
      <c r="O55" s="212">
        <f t="shared" si="5"/>
        <v>0.36</v>
      </c>
      <c r="P55" s="319"/>
      <c r="Q55" s="319"/>
      <c r="R55" s="202">
        <v>42</v>
      </c>
      <c r="S55" s="202">
        <v>30</v>
      </c>
      <c r="T55" s="207">
        <f t="shared" si="6"/>
        <v>72</v>
      </c>
      <c r="U55" s="209">
        <f>ROUND(AVERAGE(5-4*(T55)/(T9)),1)</f>
        <v>2.1</v>
      </c>
      <c r="V55" s="212">
        <f t="shared" si="7"/>
        <v>0.315</v>
      </c>
      <c r="W55" s="202">
        <v>90</v>
      </c>
      <c r="X55" s="208">
        <v>95</v>
      </c>
      <c r="Y55" s="96">
        <f t="shared" si="8"/>
        <v>185</v>
      </c>
      <c r="Z55" s="209">
        <f>ROUND(AVERAGE(5-4*(Y55)/(Y9)),1)</f>
        <v>1.3</v>
      </c>
      <c r="AA55" s="212">
        <f t="shared" si="9"/>
        <v>0.19500000000000001</v>
      </c>
      <c r="AB55" s="218">
        <v>27</v>
      </c>
      <c r="AC55" s="209">
        <f t="shared" si="10"/>
        <v>1</v>
      </c>
      <c r="AD55" s="212">
        <f t="shared" si="11"/>
        <v>0.1</v>
      </c>
      <c r="AE55" s="202">
        <v>36</v>
      </c>
      <c r="AF55" s="211">
        <f t="shared" si="12"/>
        <v>2.9</v>
      </c>
      <c r="AG55" s="212">
        <f t="shared" si="13"/>
        <v>0.87</v>
      </c>
      <c r="AH55" s="203">
        <v>25</v>
      </c>
      <c r="AI55" s="207">
        <v>26</v>
      </c>
      <c r="AJ55" s="96">
        <f t="shared" si="14"/>
        <v>51</v>
      </c>
      <c r="AK55" s="209">
        <f>ROUND(AVERAGE(5-4*(AJ55)/(AJ9)),1)</f>
        <v>3</v>
      </c>
      <c r="AL55" s="212">
        <f t="shared" si="15"/>
        <v>0.44999999999999996</v>
      </c>
      <c r="AM55" s="207">
        <v>30</v>
      </c>
      <c r="AN55" s="207">
        <v>35</v>
      </c>
      <c r="AO55" s="203">
        <f t="shared" si="16"/>
        <v>65</v>
      </c>
      <c r="AP55" s="209">
        <f>ROUND(AVERAGE(5-4*(AO55)/(AO9)),1)</f>
        <v>2.4</v>
      </c>
      <c r="AQ55" s="215">
        <f t="shared" si="17"/>
        <v>0.36</v>
      </c>
      <c r="AR55" s="207">
        <v>30</v>
      </c>
      <c r="AS55" s="207">
        <v>35</v>
      </c>
      <c r="AT55" s="96">
        <f t="shared" si="18"/>
        <v>65</v>
      </c>
      <c r="AU55" s="213">
        <f>ROUND(AVERAGE(5-4*(AT55)/(AT9)),1)</f>
        <v>2.4</v>
      </c>
      <c r="AV55" s="214">
        <f t="shared" si="19"/>
        <v>0.36</v>
      </c>
      <c r="AW55" s="207">
        <v>95</v>
      </c>
      <c r="AX55" s="207">
        <v>95</v>
      </c>
      <c r="AY55" s="207">
        <v>100</v>
      </c>
      <c r="AZ55" s="207">
        <f t="shared" si="27"/>
        <v>290</v>
      </c>
      <c r="BA55" s="213">
        <f>ROUND(AVERAGE(5-4*(AZ55)/(AZ9)),1)</f>
        <v>1.1000000000000001</v>
      </c>
      <c r="BB55" s="214">
        <f t="shared" si="21"/>
        <v>0.16500000000000001</v>
      </c>
      <c r="BC55" s="216">
        <v>27</v>
      </c>
      <c r="BD55" s="213">
        <f>5-(4*BC55/BC9)</f>
        <v>1</v>
      </c>
      <c r="BE55" s="214">
        <f t="shared" si="22"/>
        <v>0.1</v>
      </c>
      <c r="BF55" s="206">
        <v>47</v>
      </c>
      <c r="BG55" s="157">
        <f>ROUND(AVERAGE(5-4*(BF55)/(BF9)),1)</f>
        <v>2.2999999999999998</v>
      </c>
      <c r="BH55" s="149">
        <f t="shared" si="23"/>
        <v>0.69</v>
      </c>
      <c r="BI55" s="165">
        <f t="shared" si="24"/>
        <v>2.35</v>
      </c>
      <c r="BJ55" s="216">
        <f>AL55+AQ55+AV55+BB55+BE55+BH55</f>
        <v>2.125</v>
      </c>
      <c r="BK55" s="165">
        <f t="shared" si="30"/>
        <v>2.2374999999999998</v>
      </c>
      <c r="BL55" s="206" t="s">
        <v>91</v>
      </c>
    </row>
    <row r="56" spans="1:64" x14ac:dyDescent="0.3">
      <c r="A56" s="272">
        <v>46</v>
      </c>
      <c r="B56" s="273" t="s">
        <v>405</v>
      </c>
      <c r="C56" s="237" t="s">
        <v>406</v>
      </c>
      <c r="D56" s="202">
        <v>32</v>
      </c>
      <c r="E56" s="202">
        <v>24</v>
      </c>
      <c r="F56" s="207">
        <f t="shared" si="1"/>
        <v>56</v>
      </c>
      <c r="G56" s="267">
        <f>ROUND(AVERAGE(5-4*(F56)/(F9)),1)</f>
        <v>2.8</v>
      </c>
      <c r="H56" s="212">
        <f t="shared" si="28"/>
        <v>0.42</v>
      </c>
      <c r="I56" s="319"/>
      <c r="J56" s="319"/>
      <c r="K56" s="244">
        <v>35</v>
      </c>
      <c r="L56" s="244">
        <v>25</v>
      </c>
      <c r="M56" s="206">
        <f t="shared" si="4"/>
        <v>60</v>
      </c>
      <c r="N56" s="267">
        <f>ROUND(AVERAGE(5-4*(M56)/(M9)),1)</f>
        <v>2.6</v>
      </c>
      <c r="O56" s="212">
        <f t="shared" si="5"/>
        <v>0.39</v>
      </c>
      <c r="P56" s="319"/>
      <c r="Q56" s="319"/>
      <c r="R56" s="202">
        <v>39</v>
      </c>
      <c r="S56" s="202">
        <v>25</v>
      </c>
      <c r="T56" s="207">
        <f t="shared" si="6"/>
        <v>64</v>
      </c>
      <c r="U56" s="209">
        <f>ROUND(AVERAGE(5-4*(T56)/(T9)),1)</f>
        <v>2.4</v>
      </c>
      <c r="V56" s="212">
        <f t="shared" si="7"/>
        <v>0.36</v>
      </c>
      <c r="W56" s="202">
        <v>78</v>
      </c>
      <c r="X56" s="241">
        <v>75</v>
      </c>
      <c r="Y56" s="96">
        <f t="shared" si="8"/>
        <v>153</v>
      </c>
      <c r="Z56" s="209">
        <f>ROUND(AVERAGE(5-4*(Y56)/(Y9)),1)</f>
        <v>1.9</v>
      </c>
      <c r="AA56" s="212">
        <f t="shared" si="9"/>
        <v>0.28499999999999998</v>
      </c>
      <c r="AB56" s="218">
        <v>27</v>
      </c>
      <c r="AC56" s="209">
        <f t="shared" si="10"/>
        <v>1</v>
      </c>
      <c r="AD56" s="212">
        <f t="shared" si="11"/>
        <v>0.1</v>
      </c>
      <c r="AE56" s="202">
        <v>24</v>
      </c>
      <c r="AF56" s="211">
        <f t="shared" si="12"/>
        <v>3.6</v>
      </c>
      <c r="AG56" s="212">
        <f t="shared" si="13"/>
        <v>1.08</v>
      </c>
      <c r="AH56" s="203">
        <v>24</v>
      </c>
      <c r="AI56" s="207">
        <v>31</v>
      </c>
      <c r="AJ56" s="96">
        <f t="shared" si="14"/>
        <v>55</v>
      </c>
      <c r="AK56" s="209">
        <f>ROUND(AVERAGE(5-4*(AJ56)/(AJ9)),1)</f>
        <v>2.8</v>
      </c>
      <c r="AL56" s="212">
        <f t="shared" si="15"/>
        <v>0.42</v>
      </c>
      <c r="AM56" s="207">
        <v>35</v>
      </c>
      <c r="AN56" s="207">
        <v>33</v>
      </c>
      <c r="AO56" s="203">
        <f t="shared" si="16"/>
        <v>68</v>
      </c>
      <c r="AP56" s="209">
        <f>ROUND(AVERAGE(5-4*(AO56)/(AO9)),1)</f>
        <v>2.2999999999999998</v>
      </c>
      <c r="AQ56" s="215">
        <f t="shared" si="17"/>
        <v>0.34499999999999997</v>
      </c>
      <c r="AR56" s="207">
        <v>30</v>
      </c>
      <c r="AS56" s="207">
        <v>35</v>
      </c>
      <c r="AT56" s="96">
        <f t="shared" si="18"/>
        <v>65</v>
      </c>
      <c r="AU56" s="213">
        <f>ROUND(AVERAGE(5-4*(AT56)/(AT9)),1)</f>
        <v>2.4</v>
      </c>
      <c r="AV56" s="214">
        <f t="shared" si="19"/>
        <v>0.36</v>
      </c>
      <c r="AW56" s="207">
        <v>80</v>
      </c>
      <c r="AX56" s="207">
        <v>80</v>
      </c>
      <c r="AY56" s="207">
        <v>75</v>
      </c>
      <c r="AZ56" s="207">
        <f t="shared" si="27"/>
        <v>235</v>
      </c>
      <c r="BA56" s="213">
        <f>ROUND(AVERAGE(5-4*(AZ56)/(AZ9)),1)</f>
        <v>1.9</v>
      </c>
      <c r="BB56" s="214">
        <f t="shared" si="21"/>
        <v>0.28499999999999998</v>
      </c>
      <c r="BC56" s="216">
        <v>27</v>
      </c>
      <c r="BD56" s="213">
        <f>5-(4*BC56/BC9)</f>
        <v>1</v>
      </c>
      <c r="BE56" s="214">
        <f t="shared" si="22"/>
        <v>0.1</v>
      </c>
      <c r="BF56" s="206">
        <v>38</v>
      </c>
      <c r="BG56" s="157">
        <f>ROUND(AVERAGE(5-4*(BF56)/(BF9)),1)</f>
        <v>2.8</v>
      </c>
      <c r="BH56" s="149">
        <f t="shared" si="23"/>
        <v>0.84</v>
      </c>
      <c r="BI56" s="165">
        <f t="shared" si="24"/>
        <v>2.6349999999999998</v>
      </c>
      <c r="BJ56" s="216">
        <f>AL56+AQ56+AV56+BB56+BE56+BH56</f>
        <v>2.35</v>
      </c>
      <c r="BK56" s="165">
        <f t="shared" si="30"/>
        <v>2.4924999999999997</v>
      </c>
      <c r="BL56" s="206" t="s">
        <v>91</v>
      </c>
    </row>
    <row r="57" spans="1:64" x14ac:dyDescent="0.3">
      <c r="A57" s="272">
        <v>47</v>
      </c>
      <c r="B57" s="273" t="s">
        <v>407</v>
      </c>
      <c r="C57" s="237" t="s">
        <v>408</v>
      </c>
      <c r="D57" s="202">
        <v>22</v>
      </c>
      <c r="E57" s="202">
        <v>40</v>
      </c>
      <c r="F57" s="207">
        <f t="shared" si="1"/>
        <v>62</v>
      </c>
      <c r="G57" s="267">
        <f>ROUND(AVERAGE(5-4*(F57)/(F9)),1)</f>
        <v>2.5</v>
      </c>
      <c r="H57" s="212">
        <f t="shared" si="28"/>
        <v>0.375</v>
      </c>
      <c r="I57" s="319"/>
      <c r="J57" s="319"/>
      <c r="K57" s="205">
        <v>35</v>
      </c>
      <c r="L57" s="205">
        <v>32</v>
      </c>
      <c r="M57" s="206">
        <f t="shared" si="4"/>
        <v>67</v>
      </c>
      <c r="N57" s="267">
        <f>ROUND(AVERAGE(5-4*(M57)/(M9)),1)</f>
        <v>2.2999999999999998</v>
      </c>
      <c r="O57" s="212">
        <f t="shared" si="5"/>
        <v>0.34499999999999997</v>
      </c>
      <c r="P57" s="319"/>
      <c r="Q57" s="319"/>
      <c r="R57" s="202">
        <v>30</v>
      </c>
      <c r="S57" s="202">
        <v>34</v>
      </c>
      <c r="T57" s="207">
        <f t="shared" si="6"/>
        <v>64</v>
      </c>
      <c r="U57" s="209">
        <f>ROUND(AVERAGE(5-4*(T57)/(T9)),1)</f>
        <v>2.4</v>
      </c>
      <c r="V57" s="212">
        <f t="shared" si="7"/>
        <v>0.36</v>
      </c>
      <c r="W57" s="202">
        <v>95</v>
      </c>
      <c r="X57" s="208">
        <v>100</v>
      </c>
      <c r="Y57" s="96">
        <f t="shared" si="8"/>
        <v>195</v>
      </c>
      <c r="Z57" s="209">
        <f>ROUND(AVERAGE(5-4*(Y57)/(Y9)),1)</f>
        <v>1.1000000000000001</v>
      </c>
      <c r="AA57" s="212">
        <f t="shared" si="9"/>
        <v>0.16500000000000001</v>
      </c>
      <c r="AB57" s="218">
        <v>27</v>
      </c>
      <c r="AC57" s="209">
        <f t="shared" si="10"/>
        <v>1</v>
      </c>
      <c r="AD57" s="212">
        <f t="shared" si="11"/>
        <v>0.1</v>
      </c>
      <c r="AE57" s="202">
        <v>59</v>
      </c>
      <c r="AF57" s="211">
        <f t="shared" si="12"/>
        <v>1.6</v>
      </c>
      <c r="AG57" s="212">
        <f t="shared" si="13"/>
        <v>0.48</v>
      </c>
      <c r="AH57" s="203">
        <v>36</v>
      </c>
      <c r="AI57" s="207">
        <v>24</v>
      </c>
      <c r="AJ57" s="96">
        <f t="shared" si="14"/>
        <v>60</v>
      </c>
      <c r="AK57" s="209">
        <f>ROUND(AVERAGE(5-4*(AJ57)/(AJ9)),1)</f>
        <v>2.6</v>
      </c>
      <c r="AL57" s="212">
        <f>AK57*0.15</f>
        <v>0.39</v>
      </c>
      <c r="AM57" s="207">
        <v>35</v>
      </c>
      <c r="AN57" s="207">
        <v>36</v>
      </c>
      <c r="AO57" s="203">
        <f t="shared" si="16"/>
        <v>71</v>
      </c>
      <c r="AP57" s="209">
        <f>ROUND(AVERAGE(5-4*(AO57)/(AO9)),1)</f>
        <v>2.2000000000000002</v>
      </c>
      <c r="AQ57" s="215">
        <f t="shared" si="17"/>
        <v>0.33</v>
      </c>
      <c r="AR57" s="207">
        <v>30</v>
      </c>
      <c r="AS57" s="207">
        <v>35</v>
      </c>
      <c r="AT57" s="96">
        <f t="shared" si="18"/>
        <v>65</v>
      </c>
      <c r="AU57" s="213">
        <f>ROUND(AVERAGE(5-4*(AT57)/(AT9)),1)</f>
        <v>2.4</v>
      </c>
      <c r="AV57" s="214">
        <f t="shared" si="19"/>
        <v>0.36</v>
      </c>
      <c r="AW57" s="207">
        <v>100</v>
      </c>
      <c r="AX57" s="207">
        <v>100</v>
      </c>
      <c r="AY57" s="207">
        <v>95</v>
      </c>
      <c r="AZ57" s="207">
        <f t="shared" si="27"/>
        <v>295</v>
      </c>
      <c r="BA57" s="213">
        <f>ROUND(AVERAGE(5-4*(AZ57)/(AZ9)),1)</f>
        <v>1.1000000000000001</v>
      </c>
      <c r="BB57" s="214">
        <f t="shared" si="21"/>
        <v>0.16500000000000001</v>
      </c>
      <c r="BC57" s="216">
        <v>27</v>
      </c>
      <c r="BD57" s="213">
        <f>5-(4*BC57/BC9)</f>
        <v>1</v>
      </c>
      <c r="BE57" s="214">
        <f t="shared" si="22"/>
        <v>0.1</v>
      </c>
      <c r="BF57" s="206">
        <v>57</v>
      </c>
      <c r="BG57" s="157">
        <f>ROUND(AVERAGE(5-4*(BF57)/(BF9)),1)</f>
        <v>1.7</v>
      </c>
      <c r="BH57" s="149">
        <f t="shared" si="23"/>
        <v>0.51</v>
      </c>
      <c r="BI57" s="165">
        <f t="shared" si="24"/>
        <v>1.8250000000000002</v>
      </c>
      <c r="BJ57" s="216">
        <f t="shared" ref="BJ57:BJ64" si="31">AL57+AQ57+AV57+BB57+BE57+BH57</f>
        <v>1.8550000000000002</v>
      </c>
      <c r="BK57" s="165">
        <f t="shared" si="30"/>
        <v>1.8400000000000003</v>
      </c>
      <c r="BL57" s="206" t="s">
        <v>91</v>
      </c>
    </row>
    <row r="58" spans="1:64" ht="14.25" customHeight="1" x14ac:dyDescent="0.3">
      <c r="A58" s="272">
        <v>48</v>
      </c>
      <c r="B58" s="273" t="s">
        <v>409</v>
      </c>
      <c r="C58" s="237" t="s">
        <v>410</v>
      </c>
      <c r="D58" s="202">
        <v>29</v>
      </c>
      <c r="E58" s="202">
        <v>32</v>
      </c>
      <c r="F58" s="207">
        <f t="shared" si="1"/>
        <v>61</v>
      </c>
      <c r="G58" s="267">
        <f>ROUND(AVERAGE(5-4*(F58)/(F9)),1)</f>
        <v>2.6</v>
      </c>
      <c r="H58" s="212">
        <f t="shared" si="28"/>
        <v>0.39</v>
      </c>
      <c r="I58" s="319"/>
      <c r="J58" s="319"/>
      <c r="K58" s="205">
        <v>31</v>
      </c>
      <c r="L58" s="205">
        <v>32</v>
      </c>
      <c r="M58" s="206">
        <f t="shared" si="4"/>
        <v>63</v>
      </c>
      <c r="N58" s="267">
        <f>ROUND(AVERAGE(5-4*(M58)/(M9)),1)</f>
        <v>2.5</v>
      </c>
      <c r="O58" s="212">
        <f t="shared" si="5"/>
        <v>0.375</v>
      </c>
      <c r="P58" s="319"/>
      <c r="Q58" s="319"/>
      <c r="R58" s="202">
        <v>32</v>
      </c>
      <c r="S58" s="202">
        <v>33</v>
      </c>
      <c r="T58" s="207">
        <f t="shared" si="6"/>
        <v>65</v>
      </c>
      <c r="U58" s="209">
        <f>ROUND(AVERAGE(5-4*(T58)/(T9)),1)</f>
        <v>2.4</v>
      </c>
      <c r="V58" s="212">
        <f t="shared" si="7"/>
        <v>0.36</v>
      </c>
      <c r="W58" s="202">
        <v>85</v>
      </c>
      <c r="X58" s="208">
        <v>100</v>
      </c>
      <c r="Y58" s="96">
        <f t="shared" si="8"/>
        <v>185</v>
      </c>
      <c r="Z58" s="209">
        <f>ROUND(AVERAGE(5-4*(Y58)/(Y9)),1)</f>
        <v>1.3</v>
      </c>
      <c r="AA58" s="212">
        <f t="shared" si="9"/>
        <v>0.19500000000000001</v>
      </c>
      <c r="AB58" s="218">
        <v>27</v>
      </c>
      <c r="AC58" s="209">
        <f t="shared" si="10"/>
        <v>1</v>
      </c>
      <c r="AD58" s="212">
        <f t="shared" si="11"/>
        <v>0.1</v>
      </c>
      <c r="AE58" s="202">
        <v>38</v>
      </c>
      <c r="AF58" s="211">
        <f t="shared" si="12"/>
        <v>2.8</v>
      </c>
      <c r="AG58" s="212">
        <f t="shared" si="13"/>
        <v>0.84</v>
      </c>
      <c r="AH58" s="203">
        <v>29</v>
      </c>
      <c r="AI58" s="207">
        <v>30</v>
      </c>
      <c r="AJ58" s="96">
        <f t="shared" si="14"/>
        <v>59</v>
      </c>
      <c r="AK58" s="209">
        <f>ROUND(AVERAGE(5-4*(AJ58)/(AJ9)),1)</f>
        <v>2.6</v>
      </c>
      <c r="AL58" s="212">
        <f t="shared" si="15"/>
        <v>0.39</v>
      </c>
      <c r="AM58" s="207">
        <v>30</v>
      </c>
      <c r="AN58" s="207">
        <v>39</v>
      </c>
      <c r="AO58" s="203">
        <f t="shared" si="16"/>
        <v>69</v>
      </c>
      <c r="AP58" s="209">
        <f>ROUND(AVERAGE(5-4*(AO58)/(AO9)),1)</f>
        <v>2.2000000000000002</v>
      </c>
      <c r="AQ58" s="215">
        <f>AP58*0.15</f>
        <v>0.33</v>
      </c>
      <c r="AR58" s="207">
        <v>37</v>
      </c>
      <c r="AS58" s="207">
        <v>40</v>
      </c>
      <c r="AT58" s="96">
        <f t="shared" si="18"/>
        <v>77</v>
      </c>
      <c r="AU58" s="213">
        <f>ROUND(AVERAGE(5-4*(AT58)/(AT9)),1)</f>
        <v>1.9</v>
      </c>
      <c r="AV58" s="214">
        <f t="shared" si="19"/>
        <v>0.28499999999999998</v>
      </c>
      <c r="AW58" s="207">
        <v>90</v>
      </c>
      <c r="AX58" s="207">
        <v>90</v>
      </c>
      <c r="AY58" s="207">
        <v>95</v>
      </c>
      <c r="AZ58" s="207">
        <f t="shared" si="27"/>
        <v>275</v>
      </c>
      <c r="BA58" s="213">
        <f>ROUND(AVERAGE(5-4*(AZ58)/(AZ9)),1)</f>
        <v>1.3</v>
      </c>
      <c r="BB58" s="214">
        <f t="shared" si="21"/>
        <v>0.19500000000000001</v>
      </c>
      <c r="BC58" s="216">
        <v>27</v>
      </c>
      <c r="BD58" s="213">
        <f>5-(4*BC58/BC9)</f>
        <v>1</v>
      </c>
      <c r="BE58" s="214">
        <f t="shared" si="22"/>
        <v>0.1</v>
      </c>
      <c r="BF58" s="206">
        <v>48</v>
      </c>
      <c r="BG58" s="157">
        <f>ROUND(AVERAGE(5-4*(BF58)/(BF9)),1)</f>
        <v>2.2999999999999998</v>
      </c>
      <c r="BH58" s="149">
        <f t="shared" si="23"/>
        <v>0.69</v>
      </c>
      <c r="BI58" s="165">
        <f t="shared" si="24"/>
        <v>2.2600000000000002</v>
      </c>
      <c r="BJ58" s="216">
        <f t="shared" si="31"/>
        <v>1.99</v>
      </c>
      <c r="BK58" s="165">
        <f t="shared" si="30"/>
        <v>2.125</v>
      </c>
      <c r="BL58" s="206" t="s">
        <v>91</v>
      </c>
    </row>
    <row r="59" spans="1:64" x14ac:dyDescent="0.3">
      <c r="A59" s="272">
        <v>49</v>
      </c>
      <c r="B59" s="273" t="s">
        <v>411</v>
      </c>
      <c r="C59" s="237" t="s">
        <v>412</v>
      </c>
      <c r="D59" s="86">
        <v>16</v>
      </c>
      <c r="E59" s="86">
        <v>28</v>
      </c>
      <c r="F59" s="93">
        <f t="shared" si="1"/>
        <v>44</v>
      </c>
      <c r="G59" s="266">
        <f>ROUND(AVERAGE(5-4*(F59)/(F9)),1)</f>
        <v>3.2</v>
      </c>
      <c r="H59" s="108">
        <f t="shared" si="28"/>
        <v>0.48</v>
      </c>
      <c r="I59" s="308"/>
      <c r="J59" s="308"/>
      <c r="K59" s="78">
        <v>36</v>
      </c>
      <c r="L59" s="78">
        <v>27</v>
      </c>
      <c r="M59" s="81">
        <f t="shared" si="4"/>
        <v>63</v>
      </c>
      <c r="N59" s="266">
        <f>ROUND(AVERAGE(5-4*(M59)/(M9)),1)</f>
        <v>2.5</v>
      </c>
      <c r="O59" s="108">
        <f t="shared" si="5"/>
        <v>0.375</v>
      </c>
      <c r="P59" s="308"/>
      <c r="Q59" s="308"/>
      <c r="R59" s="86">
        <v>30</v>
      </c>
      <c r="S59" s="86">
        <v>28</v>
      </c>
      <c r="T59" s="93">
        <f t="shared" si="6"/>
        <v>58</v>
      </c>
      <c r="U59" s="106">
        <f>ROUND(AVERAGE(5-4*(T59)/(T9)),1)</f>
        <v>2.7</v>
      </c>
      <c r="V59" s="108">
        <f t="shared" si="7"/>
        <v>0.40500000000000003</v>
      </c>
      <c r="W59" s="86">
        <v>70</v>
      </c>
      <c r="X59" s="95">
        <v>75</v>
      </c>
      <c r="Y59" s="96">
        <f t="shared" si="8"/>
        <v>145</v>
      </c>
      <c r="Z59" s="106">
        <f>ROUND(AVERAGE(5-4*(Y59)/(Y9)),1)</f>
        <v>2.1</v>
      </c>
      <c r="AA59" s="108">
        <f t="shared" si="9"/>
        <v>0.315</v>
      </c>
      <c r="AB59" s="98">
        <v>24</v>
      </c>
      <c r="AC59" s="106">
        <f t="shared" si="10"/>
        <v>1.4444444444444446</v>
      </c>
      <c r="AD59" s="108">
        <f t="shared" si="11"/>
        <v>0.14444444444444446</v>
      </c>
      <c r="AE59" s="86">
        <v>26</v>
      </c>
      <c r="AF59" s="107">
        <f t="shared" si="12"/>
        <v>3.5</v>
      </c>
      <c r="AG59" s="108">
        <f t="shared" si="13"/>
        <v>1.05</v>
      </c>
      <c r="AH59" s="96">
        <v>6</v>
      </c>
      <c r="AI59" s="93">
        <v>30</v>
      </c>
      <c r="AJ59" s="96">
        <f t="shared" si="14"/>
        <v>36</v>
      </c>
      <c r="AK59" s="106">
        <f>ROUND(AVERAGE(5-4*(AJ59)/(AJ9)),1)</f>
        <v>3.6</v>
      </c>
      <c r="AL59" s="108">
        <f t="shared" si="15"/>
        <v>0.54</v>
      </c>
      <c r="AM59" s="93">
        <v>30</v>
      </c>
      <c r="AN59" s="93">
        <v>30</v>
      </c>
      <c r="AO59" s="96">
        <f t="shared" si="16"/>
        <v>60</v>
      </c>
      <c r="AP59" s="106">
        <f>ROUND(AVERAGE(5-4*(AO59)/(AO9)),1)</f>
        <v>2.6</v>
      </c>
      <c r="AQ59" s="158">
        <f t="shared" si="17"/>
        <v>0.39</v>
      </c>
      <c r="AR59" s="93">
        <v>35</v>
      </c>
      <c r="AS59" s="93">
        <v>32</v>
      </c>
      <c r="AT59" s="96">
        <f t="shared" si="18"/>
        <v>67</v>
      </c>
      <c r="AU59" s="148">
        <f>ROUND(AVERAGE(5-4*(AT59)/(AT9)),1)</f>
        <v>2.2999999999999998</v>
      </c>
      <c r="AV59" s="149">
        <f t="shared" si="19"/>
        <v>0.34499999999999997</v>
      </c>
      <c r="AW59" s="93">
        <v>80</v>
      </c>
      <c r="AX59" s="93">
        <v>80</v>
      </c>
      <c r="AY59" s="93">
        <v>87</v>
      </c>
      <c r="AZ59" s="207">
        <f t="shared" si="27"/>
        <v>247</v>
      </c>
      <c r="BA59" s="148">
        <f>ROUND(AVERAGE(5-4*(AZ59)/(AZ9)),1)</f>
        <v>1.7</v>
      </c>
      <c r="BB59" s="149">
        <f>BA59*0.15</f>
        <v>0.255</v>
      </c>
      <c r="BC59" s="216">
        <v>27</v>
      </c>
      <c r="BD59" s="148">
        <f>5-(4*BC59/BC9)</f>
        <v>1</v>
      </c>
      <c r="BE59" s="149">
        <f t="shared" si="22"/>
        <v>0.1</v>
      </c>
      <c r="BF59" s="81">
        <v>45</v>
      </c>
      <c r="BG59" s="157">
        <f>ROUND(AVERAGE(5-4*(BF59)/(BF9)),1)</f>
        <v>2.4</v>
      </c>
      <c r="BH59" s="149">
        <f t="shared" si="23"/>
        <v>0.72</v>
      </c>
      <c r="BI59" s="165">
        <f t="shared" si="24"/>
        <v>2.7694444444444444</v>
      </c>
      <c r="BJ59" s="165">
        <f t="shared" si="31"/>
        <v>2.3499999999999996</v>
      </c>
      <c r="BK59" s="165">
        <f t="shared" si="30"/>
        <v>2.5597222222222218</v>
      </c>
      <c r="BL59" s="81" t="s">
        <v>91</v>
      </c>
    </row>
    <row r="60" spans="1:64" ht="15.75" customHeight="1" x14ac:dyDescent="0.3">
      <c r="A60" s="272">
        <v>50</v>
      </c>
      <c r="B60" s="273" t="s">
        <v>413</v>
      </c>
      <c r="C60" s="237" t="s">
        <v>414</v>
      </c>
      <c r="D60" s="86">
        <v>29</v>
      </c>
      <c r="E60" s="86">
        <v>10</v>
      </c>
      <c r="F60" s="93">
        <f t="shared" si="1"/>
        <v>39</v>
      </c>
      <c r="G60" s="266">
        <f>ROUND(AVERAGE(5-4*(F60)/(F9)),1)</f>
        <v>3.4</v>
      </c>
      <c r="H60" s="108">
        <f t="shared" si="28"/>
        <v>0.51</v>
      </c>
      <c r="I60" s="308"/>
      <c r="J60" s="308"/>
      <c r="K60" s="78">
        <v>35</v>
      </c>
      <c r="L60" s="78">
        <v>25</v>
      </c>
      <c r="M60" s="81">
        <f t="shared" si="4"/>
        <v>60</v>
      </c>
      <c r="N60" s="266">
        <f>ROUND(AVERAGE(5-4*(M60)/(M9)),1)</f>
        <v>2.6</v>
      </c>
      <c r="O60" s="108">
        <f t="shared" si="5"/>
        <v>0.39</v>
      </c>
      <c r="P60" s="308"/>
      <c r="Q60" s="308"/>
      <c r="R60" s="86">
        <v>37</v>
      </c>
      <c r="S60" s="86">
        <v>25</v>
      </c>
      <c r="T60" s="93">
        <f t="shared" si="6"/>
        <v>62</v>
      </c>
      <c r="U60" s="106">
        <f>ROUND(AVERAGE(5-4*(T60)/(T9)),1)</f>
        <v>2.5</v>
      </c>
      <c r="V60" s="108">
        <f t="shared" si="7"/>
        <v>0.375</v>
      </c>
      <c r="W60" s="86">
        <v>100</v>
      </c>
      <c r="X60" s="95">
        <v>100</v>
      </c>
      <c r="Y60" s="96">
        <f t="shared" si="8"/>
        <v>200</v>
      </c>
      <c r="Z60" s="106">
        <f>ROUND(AVERAGE(5-4*(Y60)/(Y9)),1)</f>
        <v>1</v>
      </c>
      <c r="AA60" s="108">
        <f t="shared" si="9"/>
        <v>0.15</v>
      </c>
      <c r="AB60" s="98">
        <v>27</v>
      </c>
      <c r="AC60" s="106">
        <f t="shared" si="10"/>
        <v>1</v>
      </c>
      <c r="AD60" s="108">
        <f t="shared" si="11"/>
        <v>0.1</v>
      </c>
      <c r="AE60" s="86">
        <v>34</v>
      </c>
      <c r="AF60" s="107">
        <f t="shared" si="12"/>
        <v>3.1</v>
      </c>
      <c r="AG60" s="108">
        <f t="shared" si="13"/>
        <v>0.92999999999999994</v>
      </c>
      <c r="AH60" s="96">
        <v>18</v>
      </c>
      <c r="AI60" s="93">
        <v>26</v>
      </c>
      <c r="AJ60" s="96">
        <f t="shared" si="14"/>
        <v>44</v>
      </c>
      <c r="AK60" s="106">
        <f>ROUND(AVERAGE(5-4*(AJ60)/(AJ9)),1)</f>
        <v>3.2</v>
      </c>
      <c r="AL60" s="108">
        <f t="shared" si="15"/>
        <v>0.48</v>
      </c>
      <c r="AM60" s="93">
        <v>32</v>
      </c>
      <c r="AN60" s="93">
        <v>30</v>
      </c>
      <c r="AO60" s="96">
        <f t="shared" si="16"/>
        <v>62</v>
      </c>
      <c r="AP60" s="106">
        <f>ROUND(AVERAGE(5-4*(AO60)/(AO9)),1)</f>
        <v>2.5</v>
      </c>
      <c r="AQ60" s="158">
        <f t="shared" si="17"/>
        <v>0.375</v>
      </c>
      <c r="AR60" s="93">
        <v>30</v>
      </c>
      <c r="AS60" s="93">
        <v>37</v>
      </c>
      <c r="AT60" s="96">
        <f t="shared" si="18"/>
        <v>67</v>
      </c>
      <c r="AU60" s="148">
        <f>ROUND(AVERAGE(5-4*(AT60)/(AT9)),1)</f>
        <v>2.2999999999999998</v>
      </c>
      <c r="AV60" s="149">
        <f t="shared" si="19"/>
        <v>0.34499999999999997</v>
      </c>
      <c r="AW60" s="93">
        <v>85</v>
      </c>
      <c r="AX60" s="93">
        <v>87</v>
      </c>
      <c r="AY60" s="93">
        <v>95</v>
      </c>
      <c r="AZ60" s="93">
        <f t="shared" si="27"/>
        <v>267</v>
      </c>
      <c r="BA60" s="148">
        <f>ROUND(AVERAGE(5-4*(AZ60)/(AZ9)),1)</f>
        <v>1.4</v>
      </c>
      <c r="BB60" s="149">
        <f t="shared" si="21"/>
        <v>0.21</v>
      </c>
      <c r="BC60" s="216">
        <v>27</v>
      </c>
      <c r="BD60" s="148">
        <f>5-(4*BC60/BC9)</f>
        <v>1</v>
      </c>
      <c r="BE60" s="149">
        <f t="shared" si="22"/>
        <v>0.1</v>
      </c>
      <c r="BF60" s="81">
        <v>36</v>
      </c>
      <c r="BG60" s="157">
        <f>ROUND(AVERAGE(5-4*(BF60)/(BF9)),1)</f>
        <v>2.9</v>
      </c>
      <c r="BH60" s="149">
        <f t="shared" si="23"/>
        <v>0.87</v>
      </c>
      <c r="BI60" s="165">
        <f t="shared" si="24"/>
        <v>2.4550000000000001</v>
      </c>
      <c r="BJ60" s="165">
        <f t="shared" si="31"/>
        <v>2.38</v>
      </c>
      <c r="BK60" s="165">
        <f t="shared" si="30"/>
        <v>2.4175</v>
      </c>
      <c r="BL60" s="81" t="s">
        <v>91</v>
      </c>
    </row>
    <row r="61" spans="1:64" x14ac:dyDescent="0.3">
      <c r="A61" s="272">
        <v>51</v>
      </c>
      <c r="B61" s="273" t="s">
        <v>415</v>
      </c>
      <c r="C61" s="237" t="s">
        <v>416</v>
      </c>
      <c r="D61" s="86">
        <v>18</v>
      </c>
      <c r="E61" s="86">
        <v>25</v>
      </c>
      <c r="F61" s="93">
        <f t="shared" si="1"/>
        <v>43</v>
      </c>
      <c r="G61" s="266">
        <f>ROUND(AVERAGE(5-4*(F61)/(F9)),1)</f>
        <v>3.3</v>
      </c>
      <c r="H61" s="108">
        <f t="shared" si="28"/>
        <v>0.49499999999999994</v>
      </c>
      <c r="I61" s="308"/>
      <c r="J61" s="308"/>
      <c r="K61" s="87">
        <v>46</v>
      </c>
      <c r="L61" s="87">
        <v>30</v>
      </c>
      <c r="M61" s="81">
        <f t="shared" si="4"/>
        <v>76</v>
      </c>
      <c r="N61" s="266">
        <f>ROUND(AVERAGE(5-4*(M61)/(M9)),1)</f>
        <v>2</v>
      </c>
      <c r="O61" s="108">
        <f t="shared" si="5"/>
        <v>0.3</v>
      </c>
      <c r="P61" s="308"/>
      <c r="Q61" s="308"/>
      <c r="R61" s="86">
        <v>35</v>
      </c>
      <c r="S61" s="86">
        <v>30</v>
      </c>
      <c r="T61" s="93">
        <f t="shared" si="6"/>
        <v>65</v>
      </c>
      <c r="U61" s="106">
        <f>ROUND(AVERAGE(5-4*(T61)/(T9)),1)</f>
        <v>2.4</v>
      </c>
      <c r="V61" s="108">
        <f t="shared" si="7"/>
        <v>0.36</v>
      </c>
      <c r="W61" s="83">
        <v>83</v>
      </c>
      <c r="X61" s="83">
        <v>100</v>
      </c>
      <c r="Y61" s="96">
        <f t="shared" si="8"/>
        <v>183</v>
      </c>
      <c r="Z61" s="106">
        <f>ROUND(AVERAGE(5-4*(Y61)/(Y9)),1)</f>
        <v>1.3</v>
      </c>
      <c r="AA61" s="108">
        <f t="shared" si="9"/>
        <v>0.19500000000000001</v>
      </c>
      <c r="AB61" s="98">
        <v>27</v>
      </c>
      <c r="AC61" s="106">
        <f t="shared" si="10"/>
        <v>1</v>
      </c>
      <c r="AD61" s="108">
        <f t="shared" si="11"/>
        <v>0.1</v>
      </c>
      <c r="AE61" s="86">
        <v>26</v>
      </c>
      <c r="AF61" s="107">
        <f t="shared" si="12"/>
        <v>3.5</v>
      </c>
      <c r="AG61" s="108">
        <f>AF61*0.3</f>
        <v>1.05</v>
      </c>
      <c r="AH61" s="96">
        <v>18</v>
      </c>
      <c r="AI61" s="93">
        <v>25</v>
      </c>
      <c r="AJ61" s="96">
        <f t="shared" si="14"/>
        <v>43</v>
      </c>
      <c r="AK61" s="106">
        <f>ROUND(AVERAGE(5-4*(AJ61)/(AJ9)),1)</f>
        <v>3.3</v>
      </c>
      <c r="AL61" s="108">
        <f t="shared" si="15"/>
        <v>0.49499999999999994</v>
      </c>
      <c r="AM61" s="93">
        <v>30</v>
      </c>
      <c r="AN61" s="93">
        <v>32</v>
      </c>
      <c r="AO61" s="96">
        <f t="shared" si="16"/>
        <v>62</v>
      </c>
      <c r="AP61" s="106">
        <f>ROUND(AVERAGE(5-4*(AO61)/(AO9)),1)</f>
        <v>2.5</v>
      </c>
      <c r="AQ61" s="158">
        <f t="shared" si="17"/>
        <v>0.375</v>
      </c>
      <c r="AR61" s="93">
        <v>34</v>
      </c>
      <c r="AS61" s="93">
        <v>39</v>
      </c>
      <c r="AT61" s="96">
        <f t="shared" si="18"/>
        <v>73</v>
      </c>
      <c r="AU61" s="148">
        <f>ROUND(AVERAGE(5-4*(AT61)/(AT9)),1)</f>
        <v>2.1</v>
      </c>
      <c r="AV61" s="149">
        <f t="shared" si="19"/>
        <v>0.315</v>
      </c>
      <c r="AW61" s="93">
        <v>95</v>
      </c>
      <c r="AX61" s="93">
        <v>95</v>
      </c>
      <c r="AY61" s="93">
        <v>90</v>
      </c>
      <c r="AZ61" s="93">
        <f t="shared" si="27"/>
        <v>280</v>
      </c>
      <c r="BA61" s="148">
        <f>ROUND(AVERAGE(5-4*(AZ61)/(AZ9)),1)</f>
        <v>1.3</v>
      </c>
      <c r="BB61" s="149">
        <f t="shared" si="21"/>
        <v>0.19500000000000001</v>
      </c>
      <c r="BC61" s="216">
        <v>27</v>
      </c>
      <c r="BD61" s="148">
        <f>5-(4*BC61/BC9)</f>
        <v>1</v>
      </c>
      <c r="BE61" s="149">
        <f t="shared" si="22"/>
        <v>0.1</v>
      </c>
      <c r="BF61" s="81">
        <v>42</v>
      </c>
      <c r="BG61" s="157">
        <f>ROUND(AVERAGE(5-4*(BF61)/(BF9)),1)</f>
        <v>2.6</v>
      </c>
      <c r="BH61" s="149">
        <f t="shared" si="23"/>
        <v>0.78</v>
      </c>
      <c r="BI61" s="165">
        <f t="shared" si="24"/>
        <v>2.5</v>
      </c>
      <c r="BJ61" s="165">
        <f t="shared" si="31"/>
        <v>2.2599999999999998</v>
      </c>
      <c r="BK61" s="165">
        <f t="shared" si="30"/>
        <v>2.38</v>
      </c>
      <c r="BL61" s="81" t="s">
        <v>91</v>
      </c>
    </row>
    <row r="62" spans="1:64" x14ac:dyDescent="0.3">
      <c r="A62" s="272">
        <v>52</v>
      </c>
      <c r="B62" s="273" t="s">
        <v>417</v>
      </c>
      <c r="C62" s="237" t="s">
        <v>418</v>
      </c>
      <c r="D62" s="86">
        <v>32</v>
      </c>
      <c r="E62" s="86">
        <v>24</v>
      </c>
      <c r="F62" s="93">
        <f>SUM(D62+E62)</f>
        <v>56</v>
      </c>
      <c r="G62" s="266">
        <f>ROUND(AVERAGE(5-4*(F62)/(F9)),1)</f>
        <v>2.8</v>
      </c>
      <c r="H62" s="108">
        <f t="shared" si="28"/>
        <v>0.42</v>
      </c>
      <c r="I62" s="308"/>
      <c r="J62" s="308"/>
      <c r="K62" s="78">
        <v>36</v>
      </c>
      <c r="L62" s="78">
        <v>29</v>
      </c>
      <c r="M62" s="81">
        <f t="shared" si="4"/>
        <v>65</v>
      </c>
      <c r="N62" s="266">
        <f>ROUND(AVERAGE(5-4*(M62)/(M9)),1)</f>
        <v>2.4</v>
      </c>
      <c r="O62" s="108">
        <f t="shared" si="5"/>
        <v>0.36</v>
      </c>
      <c r="P62" s="308"/>
      <c r="Q62" s="308"/>
      <c r="R62" s="86">
        <v>31</v>
      </c>
      <c r="S62" s="86">
        <v>30</v>
      </c>
      <c r="T62" s="93">
        <f t="shared" si="6"/>
        <v>61</v>
      </c>
      <c r="U62" s="106">
        <f>ROUND(AVERAGE(5-4*(T62)/(T9)),1)</f>
        <v>2.6</v>
      </c>
      <c r="V62" s="108">
        <f t="shared" si="7"/>
        <v>0.39</v>
      </c>
      <c r="W62" s="86">
        <v>90</v>
      </c>
      <c r="X62" s="95">
        <v>95</v>
      </c>
      <c r="Y62" s="96">
        <f t="shared" si="8"/>
        <v>185</v>
      </c>
      <c r="Z62" s="106">
        <f>ROUND(AVERAGE(5-4*(Y62)/(Y9)),1)</f>
        <v>1.3</v>
      </c>
      <c r="AA62" s="108">
        <f t="shared" si="9"/>
        <v>0.19500000000000001</v>
      </c>
      <c r="AB62" s="98">
        <v>24</v>
      </c>
      <c r="AC62" s="106">
        <f t="shared" si="10"/>
        <v>1.4444444444444446</v>
      </c>
      <c r="AD62" s="108">
        <f t="shared" si="11"/>
        <v>0.14444444444444446</v>
      </c>
      <c r="AE62" s="86">
        <v>42</v>
      </c>
      <c r="AF62" s="107">
        <f t="shared" si="12"/>
        <v>2.6</v>
      </c>
      <c r="AG62" s="108">
        <f t="shared" si="13"/>
        <v>0.78</v>
      </c>
      <c r="AH62" s="96">
        <v>25</v>
      </c>
      <c r="AI62" s="93">
        <v>34</v>
      </c>
      <c r="AJ62" s="96">
        <f t="shared" si="14"/>
        <v>59</v>
      </c>
      <c r="AK62" s="106">
        <f>ROUND(AVERAGE(5-4*(AJ62)/(AJ9)),1)</f>
        <v>2.6</v>
      </c>
      <c r="AL62" s="108">
        <f t="shared" si="15"/>
        <v>0.39</v>
      </c>
      <c r="AM62" s="93">
        <v>28</v>
      </c>
      <c r="AN62" s="93">
        <v>34</v>
      </c>
      <c r="AO62" s="96">
        <f t="shared" si="16"/>
        <v>62</v>
      </c>
      <c r="AP62" s="106">
        <f>ROUND(AVERAGE(5-4*(AO62)/(AO9)),1)</f>
        <v>2.5</v>
      </c>
      <c r="AQ62" s="158">
        <f t="shared" si="17"/>
        <v>0.375</v>
      </c>
      <c r="AR62" s="93">
        <v>30</v>
      </c>
      <c r="AS62" s="93">
        <v>32</v>
      </c>
      <c r="AT62" s="96">
        <f t="shared" si="18"/>
        <v>62</v>
      </c>
      <c r="AU62" s="148">
        <f>ROUND(AVERAGE(5-4*(AT62)/(AT9)),1)</f>
        <v>2.5</v>
      </c>
      <c r="AV62" s="149">
        <f t="shared" si="19"/>
        <v>0.375</v>
      </c>
      <c r="AW62" s="93">
        <v>80</v>
      </c>
      <c r="AX62" s="93">
        <v>80</v>
      </c>
      <c r="AY62" s="93">
        <v>87</v>
      </c>
      <c r="AZ62" s="93">
        <f t="shared" si="27"/>
        <v>247</v>
      </c>
      <c r="BA62" s="148">
        <f>ROUND(AVERAGE(5-4*(AZ62)/(AZ9)),1)</f>
        <v>1.7</v>
      </c>
      <c r="BB62" s="149">
        <f t="shared" si="21"/>
        <v>0.255</v>
      </c>
      <c r="BC62" s="216">
        <v>27</v>
      </c>
      <c r="BD62" s="148">
        <f>5-(4*BC62/BC9)</f>
        <v>1</v>
      </c>
      <c r="BE62" s="149">
        <f t="shared" si="22"/>
        <v>0.1</v>
      </c>
      <c r="BF62" s="81">
        <v>35</v>
      </c>
      <c r="BG62" s="157">
        <f>ROUND(AVERAGE(5-4*(BF62)/(BF9)),1)</f>
        <v>3</v>
      </c>
      <c r="BH62" s="149">
        <f t="shared" si="23"/>
        <v>0.89999999999999991</v>
      </c>
      <c r="BI62" s="165">
        <f t="shared" si="24"/>
        <v>2.2894444444444444</v>
      </c>
      <c r="BJ62" s="165">
        <f t="shared" si="31"/>
        <v>2.395</v>
      </c>
      <c r="BK62" s="165">
        <f t="shared" si="30"/>
        <v>2.3422222222222224</v>
      </c>
      <c r="BL62" s="81" t="s">
        <v>91</v>
      </c>
    </row>
    <row r="63" spans="1:64" x14ac:dyDescent="0.3">
      <c r="A63" s="327">
        <v>53</v>
      </c>
      <c r="B63" s="328" t="s">
        <v>419</v>
      </c>
      <c r="C63" s="329" t="s">
        <v>420</v>
      </c>
      <c r="D63" s="330">
        <v>12</v>
      </c>
      <c r="E63" s="330">
        <v>12</v>
      </c>
      <c r="F63" s="331">
        <f t="shared" si="1"/>
        <v>24</v>
      </c>
      <c r="G63" s="332">
        <f>ROUND(AVERAGE(5-4*(F63)/(F9)),1)</f>
        <v>4</v>
      </c>
      <c r="H63" s="337">
        <f t="shared" si="28"/>
        <v>0.6</v>
      </c>
      <c r="I63" s="360"/>
      <c r="J63" s="360"/>
      <c r="K63" s="335">
        <v>35</v>
      </c>
      <c r="L63" s="335">
        <v>20</v>
      </c>
      <c r="M63" s="336">
        <f t="shared" si="4"/>
        <v>55</v>
      </c>
      <c r="N63" s="332">
        <f>ROUND(AVERAGE(5-4*(M63)/(M9)),1)</f>
        <v>2.8</v>
      </c>
      <c r="O63" s="337">
        <f t="shared" si="5"/>
        <v>0.42</v>
      </c>
      <c r="P63" s="360"/>
      <c r="Q63" s="360"/>
      <c r="R63" s="330">
        <v>38</v>
      </c>
      <c r="S63" s="330">
        <v>25</v>
      </c>
      <c r="T63" s="331">
        <f t="shared" si="6"/>
        <v>63</v>
      </c>
      <c r="U63" s="341">
        <f>ROUND(AVERAGE(5-4*(T63)/(T9)),1)</f>
        <v>2.5</v>
      </c>
      <c r="V63" s="337">
        <f t="shared" si="7"/>
        <v>0.375</v>
      </c>
      <c r="W63" s="330">
        <v>70</v>
      </c>
      <c r="X63" s="339">
        <v>80</v>
      </c>
      <c r="Y63" s="340">
        <f t="shared" si="8"/>
        <v>150</v>
      </c>
      <c r="Z63" s="341">
        <f>ROUND(AVERAGE(5-4*(Y63)/(Y9)),1)</f>
        <v>2</v>
      </c>
      <c r="AA63" s="337">
        <f t="shared" si="9"/>
        <v>0.3</v>
      </c>
      <c r="AB63" s="342">
        <v>19.5</v>
      </c>
      <c r="AC63" s="341">
        <f t="shared" si="10"/>
        <v>2.1111111111111112</v>
      </c>
      <c r="AD63" s="337">
        <f t="shared" si="11"/>
        <v>0.21111111111111114</v>
      </c>
      <c r="AE63" s="330"/>
      <c r="AF63" s="343">
        <f t="shared" si="12"/>
        <v>5</v>
      </c>
      <c r="AG63" s="337">
        <f t="shared" si="13"/>
        <v>1.5</v>
      </c>
      <c r="AH63" s="340"/>
      <c r="AI63" s="331"/>
      <c r="AJ63" s="340"/>
      <c r="AK63" s="341">
        <f>ROUND(AVERAGE(5-4*(AJ63)/(AJ9)),1)</f>
        <v>5</v>
      </c>
      <c r="AL63" s="337">
        <f t="shared" si="15"/>
        <v>0.75</v>
      </c>
      <c r="AM63" s="331"/>
      <c r="AN63" s="331"/>
      <c r="AO63" s="340"/>
      <c r="AP63" s="341">
        <f>ROUND(AVERAGE(5-4*(AO63)/(AO9)),1)</f>
        <v>5</v>
      </c>
      <c r="AQ63" s="344">
        <f t="shared" si="17"/>
        <v>0.75</v>
      </c>
      <c r="AR63" s="331"/>
      <c r="AS63" s="331"/>
      <c r="AT63" s="340"/>
      <c r="AU63" s="345">
        <f>ROUND(AVERAGE(5-4*(AT63)/(AT9)),1)</f>
        <v>5</v>
      </c>
      <c r="AV63" s="346">
        <f t="shared" si="19"/>
        <v>0.75</v>
      </c>
      <c r="AW63" s="331"/>
      <c r="AX63" s="331"/>
      <c r="AY63" s="331"/>
      <c r="AZ63" s="331"/>
      <c r="BA63" s="345">
        <f>ROUND(AVERAGE(5-4*(AZ63)/(AZ9)),1)</f>
        <v>5</v>
      </c>
      <c r="BB63" s="346">
        <f t="shared" si="21"/>
        <v>0.75</v>
      </c>
      <c r="BC63" s="348"/>
      <c r="BD63" s="345">
        <f>5-(4*BC63/BC9)</f>
        <v>5</v>
      </c>
      <c r="BE63" s="346">
        <f t="shared" si="22"/>
        <v>0.5</v>
      </c>
      <c r="BF63" s="336"/>
      <c r="BG63" s="349">
        <f>ROUND(AVERAGE(5-4*(BF63)/(BF9)),1)</f>
        <v>5</v>
      </c>
      <c r="BH63" s="346">
        <f t="shared" si="23"/>
        <v>1.5</v>
      </c>
      <c r="BI63" s="348" t="s">
        <v>93</v>
      </c>
      <c r="BJ63" s="348" t="s">
        <v>93</v>
      </c>
      <c r="BK63" s="348" t="s">
        <v>95</v>
      </c>
      <c r="BL63" s="350">
        <v>45992</v>
      </c>
    </row>
    <row r="64" spans="1:64" x14ac:dyDescent="0.3">
      <c r="A64" s="272">
        <v>54</v>
      </c>
      <c r="B64" s="273" t="s">
        <v>421</v>
      </c>
      <c r="C64" s="237" t="s">
        <v>422</v>
      </c>
      <c r="D64" s="86">
        <v>12</v>
      </c>
      <c r="E64" s="86">
        <v>10</v>
      </c>
      <c r="F64" s="93">
        <f t="shared" si="1"/>
        <v>22</v>
      </c>
      <c r="G64" s="266">
        <f>ROUND(AVERAGE(5-4*(F64)/(F9)),1)</f>
        <v>4.0999999999999996</v>
      </c>
      <c r="H64" s="108">
        <f t="shared" si="28"/>
        <v>0.61499999999999988</v>
      </c>
      <c r="I64" s="308"/>
      <c r="J64" s="308"/>
      <c r="K64" s="78">
        <v>38</v>
      </c>
      <c r="L64" s="78">
        <v>27</v>
      </c>
      <c r="M64" s="81">
        <f t="shared" si="4"/>
        <v>65</v>
      </c>
      <c r="N64" s="266">
        <f>ROUND(AVERAGE(5-4*(M64)/(M9)),1)</f>
        <v>2.4</v>
      </c>
      <c r="O64" s="108">
        <f t="shared" si="5"/>
        <v>0.36</v>
      </c>
      <c r="P64" s="308"/>
      <c r="Q64" s="308"/>
      <c r="R64" s="86">
        <v>28</v>
      </c>
      <c r="S64" s="86">
        <v>30</v>
      </c>
      <c r="T64" s="93">
        <f t="shared" si="6"/>
        <v>58</v>
      </c>
      <c r="U64" s="106">
        <f>ROUND(AVERAGE(5-4*(T64)/(T9)),1)</f>
        <v>2.7</v>
      </c>
      <c r="V64" s="108">
        <f t="shared" si="7"/>
        <v>0.40500000000000003</v>
      </c>
      <c r="W64" s="86">
        <v>70</v>
      </c>
      <c r="X64" s="95">
        <v>75</v>
      </c>
      <c r="Y64" s="96">
        <f t="shared" si="8"/>
        <v>145</v>
      </c>
      <c r="Z64" s="106">
        <f>ROUND(AVERAGE(5-4*(Y64)/(Y9)),1)</f>
        <v>2.1</v>
      </c>
      <c r="AA64" s="108">
        <f t="shared" si="9"/>
        <v>0.315</v>
      </c>
      <c r="AB64" s="98">
        <v>24</v>
      </c>
      <c r="AC64" s="106">
        <f t="shared" si="10"/>
        <v>1.4444444444444446</v>
      </c>
      <c r="AD64" s="108">
        <f t="shared" si="11"/>
        <v>0.14444444444444446</v>
      </c>
      <c r="AE64" s="86">
        <v>22</v>
      </c>
      <c r="AF64" s="107">
        <f t="shared" si="12"/>
        <v>3.7</v>
      </c>
      <c r="AG64" s="108">
        <f>AF64*0.3</f>
        <v>1.1100000000000001</v>
      </c>
      <c r="AH64" s="96">
        <v>20</v>
      </c>
      <c r="AI64" s="93">
        <v>23</v>
      </c>
      <c r="AJ64" s="96">
        <f t="shared" si="14"/>
        <v>43</v>
      </c>
      <c r="AK64" s="106">
        <f>ROUND(AVERAGE(5-4*(AJ64)/(AJ9)),1)</f>
        <v>3.3</v>
      </c>
      <c r="AL64" s="108">
        <f t="shared" si="15"/>
        <v>0.49499999999999994</v>
      </c>
      <c r="AM64" s="93">
        <v>30</v>
      </c>
      <c r="AN64" s="93">
        <v>30</v>
      </c>
      <c r="AO64" s="96">
        <f t="shared" si="16"/>
        <v>60</v>
      </c>
      <c r="AP64" s="106">
        <f>ROUND(AVERAGE(5-4*(AO64)/(AO9)),1)</f>
        <v>2.6</v>
      </c>
      <c r="AQ64" s="158">
        <f t="shared" si="17"/>
        <v>0.39</v>
      </c>
      <c r="AR64" s="93">
        <v>30</v>
      </c>
      <c r="AS64" s="93">
        <v>30</v>
      </c>
      <c r="AT64" s="96">
        <f t="shared" si="18"/>
        <v>60</v>
      </c>
      <c r="AU64" s="148">
        <f>ROUND(AVERAGE(5-4*(AT64)/(AT9)),1)</f>
        <v>2.6</v>
      </c>
      <c r="AV64" s="149">
        <f>AU64*0.15</f>
        <v>0.39</v>
      </c>
      <c r="AW64" s="93">
        <v>80</v>
      </c>
      <c r="AX64" s="93">
        <v>80</v>
      </c>
      <c r="AY64" s="93">
        <v>85</v>
      </c>
      <c r="AZ64" s="93">
        <f t="shared" si="27"/>
        <v>245</v>
      </c>
      <c r="BA64" s="148">
        <f>ROUND(AVERAGE(5-4*(AZ64)/(AZ9)),1)</f>
        <v>1.7</v>
      </c>
      <c r="BB64" s="149">
        <f t="shared" si="21"/>
        <v>0.255</v>
      </c>
      <c r="BC64" s="165">
        <v>27</v>
      </c>
      <c r="BD64" s="148">
        <f>5-(4*BC64/BC9)</f>
        <v>1</v>
      </c>
      <c r="BE64" s="149">
        <f t="shared" si="22"/>
        <v>0.1</v>
      </c>
      <c r="BF64" s="81">
        <v>44</v>
      </c>
      <c r="BG64" s="157">
        <f>ROUND(AVERAGE(5-4*(BF64)/(BF9)),1)</f>
        <v>2.5</v>
      </c>
      <c r="BH64" s="149">
        <f t="shared" si="23"/>
        <v>0.75</v>
      </c>
      <c r="BI64" s="165">
        <f t="shared" si="24"/>
        <v>2.9494444444444445</v>
      </c>
      <c r="BJ64" s="165">
        <f t="shared" si="31"/>
        <v>2.38</v>
      </c>
      <c r="BK64" s="165">
        <v>2.6</v>
      </c>
      <c r="BL64" s="81" t="s">
        <v>91</v>
      </c>
    </row>
    <row r="65" spans="1:64" x14ac:dyDescent="0.3">
      <c r="A65" s="359">
        <v>55</v>
      </c>
      <c r="B65" s="328" t="s">
        <v>423</v>
      </c>
      <c r="C65" s="329" t="s">
        <v>424</v>
      </c>
      <c r="D65" s="330">
        <v>14</v>
      </c>
      <c r="E65" s="330">
        <v>18</v>
      </c>
      <c r="F65" s="331">
        <f t="shared" si="1"/>
        <v>32</v>
      </c>
      <c r="G65" s="332">
        <f>ROUND(AVERAGE(5-4*(F65)/(F9)),1)</f>
        <v>3.7</v>
      </c>
      <c r="H65" s="337">
        <f t="shared" si="28"/>
        <v>0.55500000000000005</v>
      </c>
      <c r="I65" s="360"/>
      <c r="J65" s="360"/>
      <c r="K65" s="335">
        <v>34</v>
      </c>
      <c r="L65" s="335">
        <v>30</v>
      </c>
      <c r="M65" s="336">
        <f t="shared" si="4"/>
        <v>64</v>
      </c>
      <c r="N65" s="332">
        <f>ROUND(AVERAGE(5-4*(M65)/(M9)),1)</f>
        <v>2.4</v>
      </c>
      <c r="O65" s="337">
        <f t="shared" si="5"/>
        <v>0.36</v>
      </c>
      <c r="P65" s="360"/>
      <c r="Q65" s="360"/>
      <c r="R65" s="330">
        <v>37</v>
      </c>
      <c r="S65" s="330">
        <v>28</v>
      </c>
      <c r="T65" s="331">
        <f t="shared" si="6"/>
        <v>65</v>
      </c>
      <c r="U65" s="341">
        <f>ROUND(AVERAGE(5-4*(T65)/(T9)),1)</f>
        <v>2.4</v>
      </c>
      <c r="V65" s="337">
        <f t="shared" si="7"/>
        <v>0.36</v>
      </c>
      <c r="W65" s="330">
        <v>90</v>
      </c>
      <c r="X65" s="339">
        <v>92</v>
      </c>
      <c r="Y65" s="340">
        <f t="shared" si="8"/>
        <v>182</v>
      </c>
      <c r="Z65" s="341">
        <f>ROUND(AVERAGE(5-4*(Y65)/(Y9)),1)</f>
        <v>1.4</v>
      </c>
      <c r="AA65" s="337">
        <f t="shared" si="9"/>
        <v>0.21</v>
      </c>
      <c r="AB65" s="342">
        <v>21</v>
      </c>
      <c r="AC65" s="341">
        <f t="shared" si="10"/>
        <v>1.8888888888888888</v>
      </c>
      <c r="AD65" s="337">
        <f t="shared" si="11"/>
        <v>0.18888888888888888</v>
      </c>
      <c r="AE65" s="330">
        <v>20</v>
      </c>
      <c r="AF65" s="343">
        <f t="shared" si="12"/>
        <v>3.9</v>
      </c>
      <c r="AG65" s="337">
        <f t="shared" si="13"/>
        <v>1.17</v>
      </c>
      <c r="AH65" s="340">
        <v>8</v>
      </c>
      <c r="AI65" s="331"/>
      <c r="AJ65" s="340">
        <f t="shared" si="14"/>
        <v>8</v>
      </c>
      <c r="AK65" s="341">
        <f>ROUND(AVERAGE(5-4*(AJ65)/(AJ9)),1)</f>
        <v>4.7</v>
      </c>
      <c r="AL65" s="337">
        <f t="shared" si="15"/>
        <v>0.70499999999999996</v>
      </c>
      <c r="AM65" s="331"/>
      <c r="AN65" s="331"/>
      <c r="AO65" s="340"/>
      <c r="AP65" s="341">
        <f>ROUND(AVERAGE(5-4*(AO65)/(AO9)),1)</f>
        <v>5</v>
      </c>
      <c r="AQ65" s="344">
        <f t="shared" si="17"/>
        <v>0.75</v>
      </c>
      <c r="AR65" s="331"/>
      <c r="AS65" s="331"/>
      <c r="AT65" s="340"/>
      <c r="AU65" s="345">
        <f>ROUND(AVERAGE(5-4*(AT65)/(AT9)),1)</f>
        <v>5</v>
      </c>
      <c r="AV65" s="346">
        <f t="shared" si="19"/>
        <v>0.75</v>
      </c>
      <c r="AW65" s="331"/>
      <c r="AX65" s="331"/>
      <c r="AY65" s="331"/>
      <c r="AZ65" s="331"/>
      <c r="BA65" s="345">
        <f>ROUND(AVERAGE(5-4*(AZ65)/(AZ9)),1)</f>
        <v>5</v>
      </c>
      <c r="BB65" s="346">
        <f t="shared" si="21"/>
        <v>0.75</v>
      </c>
      <c r="BC65" s="348">
        <v>3</v>
      </c>
      <c r="BD65" s="345">
        <f>5-(4*BC65/BC9)</f>
        <v>4.5555555555555554</v>
      </c>
      <c r="BE65" s="346">
        <f t="shared" si="22"/>
        <v>0.45555555555555555</v>
      </c>
      <c r="BF65" s="336"/>
      <c r="BG65" s="349">
        <f>ROUND(AVERAGE(5-4*(BF65)/(BF9)),1)</f>
        <v>5</v>
      </c>
      <c r="BH65" s="346">
        <f t="shared" si="23"/>
        <v>1.5</v>
      </c>
      <c r="BI65" s="348">
        <f t="shared" si="24"/>
        <v>2.8438888888888885</v>
      </c>
      <c r="BJ65" s="348" t="s">
        <v>93</v>
      </c>
      <c r="BK65" s="348" t="s">
        <v>95</v>
      </c>
      <c r="BL65" s="350">
        <v>45995</v>
      </c>
    </row>
    <row r="66" spans="1:64" x14ac:dyDescent="0.3">
      <c r="A66" s="304">
        <v>56</v>
      </c>
      <c r="B66" s="273" t="s">
        <v>425</v>
      </c>
      <c r="C66" s="237" t="s">
        <v>426</v>
      </c>
      <c r="D66" s="86">
        <v>23</v>
      </c>
      <c r="E66" s="86">
        <v>24</v>
      </c>
      <c r="F66" s="93">
        <f>SUM(D66+E66)</f>
        <v>47</v>
      </c>
      <c r="G66" s="266">
        <f>ROUND(AVERAGE(5-4*(F66)/(F9)),1)</f>
        <v>3.1</v>
      </c>
      <c r="H66" s="108">
        <f t="shared" si="28"/>
        <v>0.46499999999999997</v>
      </c>
      <c r="I66" s="308"/>
      <c r="J66" s="308"/>
      <c r="K66" s="78">
        <v>28</v>
      </c>
      <c r="L66" s="78">
        <v>33</v>
      </c>
      <c r="M66" s="81">
        <f t="shared" si="4"/>
        <v>61</v>
      </c>
      <c r="N66" s="266">
        <f>ROUND(AVERAGE(5-4*(M66)/(M9)),1)</f>
        <v>2.6</v>
      </c>
      <c r="O66" s="108">
        <f t="shared" si="5"/>
        <v>0.39</v>
      </c>
      <c r="P66" s="308"/>
      <c r="Q66" s="308"/>
      <c r="R66" s="86">
        <v>38</v>
      </c>
      <c r="S66" s="86">
        <v>30</v>
      </c>
      <c r="T66" s="93">
        <f t="shared" si="6"/>
        <v>68</v>
      </c>
      <c r="U66" s="106">
        <f>ROUND(AVERAGE(5-4*(T66)/(T9)),1)</f>
        <v>2.2999999999999998</v>
      </c>
      <c r="V66" s="108">
        <f t="shared" si="7"/>
        <v>0.34499999999999997</v>
      </c>
      <c r="W66" s="86">
        <v>80</v>
      </c>
      <c r="X66" s="95">
        <v>85</v>
      </c>
      <c r="Y66" s="96">
        <f t="shared" si="8"/>
        <v>165</v>
      </c>
      <c r="Z66" s="106">
        <f>ROUND(AVERAGE(5-4*(Y66)/(Y9)),1)</f>
        <v>1.7</v>
      </c>
      <c r="AA66" s="108">
        <f t="shared" si="9"/>
        <v>0.255</v>
      </c>
      <c r="AB66" s="98">
        <v>25.5</v>
      </c>
      <c r="AC66" s="106">
        <f t="shared" si="10"/>
        <v>1.2222222222222223</v>
      </c>
      <c r="AD66" s="108">
        <f t="shared" si="11"/>
        <v>0.12222222222222223</v>
      </c>
      <c r="AE66" s="86">
        <v>27</v>
      </c>
      <c r="AF66" s="107">
        <f t="shared" si="12"/>
        <v>3.5</v>
      </c>
      <c r="AG66" s="108">
        <f t="shared" si="13"/>
        <v>1.05</v>
      </c>
      <c r="AH66" s="96">
        <v>24</v>
      </c>
      <c r="AI66" s="93">
        <v>26</v>
      </c>
      <c r="AJ66" s="96">
        <f t="shared" si="14"/>
        <v>50</v>
      </c>
      <c r="AK66" s="106">
        <f>ROUND(AVERAGE(5-4*(AJ66)/(AJ9)),1)</f>
        <v>3</v>
      </c>
      <c r="AL66" s="108">
        <f t="shared" si="15"/>
        <v>0.44999999999999996</v>
      </c>
      <c r="AM66" s="93">
        <v>30</v>
      </c>
      <c r="AN66" s="93">
        <v>33</v>
      </c>
      <c r="AO66" s="96">
        <f t="shared" si="16"/>
        <v>63</v>
      </c>
      <c r="AP66" s="106">
        <f>ROUND(AVERAGE(5-4*(AO66)/(AO9)),1)</f>
        <v>2.5</v>
      </c>
      <c r="AQ66" s="158">
        <f t="shared" si="17"/>
        <v>0.375</v>
      </c>
      <c r="AR66" s="93">
        <v>30</v>
      </c>
      <c r="AS66" s="93">
        <v>32</v>
      </c>
      <c r="AT66" s="96">
        <f t="shared" si="18"/>
        <v>62</v>
      </c>
      <c r="AU66" s="148">
        <f>ROUND(AVERAGE(5-4*(AT66)/(AT9)),1)</f>
        <v>2.5</v>
      </c>
      <c r="AV66" s="149">
        <f t="shared" si="19"/>
        <v>0.375</v>
      </c>
      <c r="AW66" s="93">
        <v>80</v>
      </c>
      <c r="AX66" s="93">
        <v>80</v>
      </c>
      <c r="AY66" s="93">
        <v>95</v>
      </c>
      <c r="AZ66" s="93">
        <v>255</v>
      </c>
      <c r="BA66" s="148">
        <f>ROUND(AVERAGE(5-4*(AZ66)/(AZ9)),1)</f>
        <v>1.6</v>
      </c>
      <c r="BB66" s="149">
        <f t="shared" si="21"/>
        <v>0.24</v>
      </c>
      <c r="BC66" s="165">
        <v>27</v>
      </c>
      <c r="BD66" s="148">
        <f>5-(4*BC66/BC9)</f>
        <v>1</v>
      </c>
      <c r="BE66" s="149">
        <f t="shared" si="22"/>
        <v>0.1</v>
      </c>
      <c r="BF66" s="81">
        <v>37</v>
      </c>
      <c r="BG66" s="157">
        <f>ROUND(AVERAGE(5-4*(BF66)/(BF9)),1)</f>
        <v>2.9</v>
      </c>
      <c r="BH66" s="149">
        <f t="shared" si="23"/>
        <v>0.87</v>
      </c>
      <c r="BI66" s="165">
        <f t="shared" si="24"/>
        <v>2.6272222222222226</v>
      </c>
      <c r="BJ66" s="165">
        <f>AL66+AQ66+AV66+BB66+BE66+BH66</f>
        <v>2.41</v>
      </c>
      <c r="BK66" s="165">
        <f t="shared" si="30"/>
        <v>2.5186111111111114</v>
      </c>
      <c r="BL66" s="81" t="s">
        <v>91</v>
      </c>
    </row>
    <row r="67" spans="1:64" x14ac:dyDescent="0.3">
      <c r="A67" s="304">
        <v>57</v>
      </c>
      <c r="B67" s="273" t="s">
        <v>427</v>
      </c>
      <c r="C67" s="237" t="s">
        <v>428</v>
      </c>
      <c r="D67" s="86">
        <v>26</v>
      </c>
      <c r="E67" s="86">
        <v>20</v>
      </c>
      <c r="F67" s="93">
        <f>SUM(D67+E67)</f>
        <v>46</v>
      </c>
      <c r="G67" s="266">
        <f>ROUND(AVERAGE(5-4*(F67)/(F9)),1)</f>
        <v>3.2</v>
      </c>
      <c r="H67" s="108">
        <f t="shared" si="28"/>
        <v>0.48</v>
      </c>
      <c r="I67" s="308"/>
      <c r="J67" s="308"/>
      <c r="K67" s="78">
        <v>40</v>
      </c>
      <c r="L67" s="78">
        <v>25</v>
      </c>
      <c r="M67" s="81">
        <f t="shared" si="4"/>
        <v>65</v>
      </c>
      <c r="N67" s="266">
        <f>ROUND(AVERAGE(5-4*(M67)/(M9)),1)</f>
        <v>2.4</v>
      </c>
      <c r="O67" s="108">
        <f t="shared" si="5"/>
        <v>0.36</v>
      </c>
      <c r="P67" s="308"/>
      <c r="Q67" s="308"/>
      <c r="R67" s="86">
        <v>40</v>
      </c>
      <c r="S67" s="86">
        <v>25</v>
      </c>
      <c r="T67" s="93">
        <f t="shared" si="6"/>
        <v>65</v>
      </c>
      <c r="U67" s="106">
        <f>ROUND(AVERAGE(5-4*(T67)/(T9)),1)</f>
        <v>2.4</v>
      </c>
      <c r="V67" s="108">
        <f t="shared" si="7"/>
        <v>0.36</v>
      </c>
      <c r="W67" s="86">
        <v>90</v>
      </c>
      <c r="X67" s="95">
        <v>95</v>
      </c>
      <c r="Y67" s="96">
        <f t="shared" si="8"/>
        <v>185</v>
      </c>
      <c r="Z67" s="106">
        <f>ROUND(AVERAGE(5-4*(Y67)/(Y9)),1)</f>
        <v>1.3</v>
      </c>
      <c r="AA67" s="108">
        <f t="shared" si="9"/>
        <v>0.19500000000000001</v>
      </c>
      <c r="AB67" s="98">
        <v>24</v>
      </c>
      <c r="AC67" s="106">
        <f t="shared" si="10"/>
        <v>1.4444444444444446</v>
      </c>
      <c r="AD67" s="108">
        <f t="shared" si="11"/>
        <v>0.14444444444444446</v>
      </c>
      <c r="AE67" s="86">
        <v>33</v>
      </c>
      <c r="AF67" s="107">
        <f t="shared" si="12"/>
        <v>3.1</v>
      </c>
      <c r="AG67" s="108">
        <f t="shared" si="13"/>
        <v>0.92999999999999994</v>
      </c>
      <c r="AH67" s="96">
        <v>20</v>
      </c>
      <c r="AI67" s="93">
        <v>30</v>
      </c>
      <c r="AJ67" s="96">
        <f t="shared" si="14"/>
        <v>50</v>
      </c>
      <c r="AK67" s="106">
        <f>ROUND(AVERAGE(5-4*(AJ67)/(AJ9)),1)</f>
        <v>3</v>
      </c>
      <c r="AL67" s="108">
        <f t="shared" si="15"/>
        <v>0.44999999999999996</v>
      </c>
      <c r="AM67" s="93">
        <v>42</v>
      </c>
      <c r="AN67" s="93">
        <v>35</v>
      </c>
      <c r="AO67" s="96">
        <f t="shared" si="16"/>
        <v>77</v>
      </c>
      <c r="AP67" s="106">
        <f>ROUND(AVERAGE(5-4*(AO67)/(AO9)),1)</f>
        <v>1.9</v>
      </c>
      <c r="AQ67" s="158">
        <f t="shared" si="17"/>
        <v>0.28499999999999998</v>
      </c>
      <c r="AR67" s="93">
        <v>40</v>
      </c>
      <c r="AS67" s="93">
        <v>42</v>
      </c>
      <c r="AT67" s="96">
        <f t="shared" si="18"/>
        <v>82</v>
      </c>
      <c r="AU67" s="148">
        <f>ROUND(AVERAGE(5-4*(AT67)/(AT9)),1)</f>
        <v>1.7</v>
      </c>
      <c r="AV67" s="149">
        <f t="shared" si="19"/>
        <v>0.255</v>
      </c>
      <c r="AW67" s="93">
        <v>90</v>
      </c>
      <c r="AX67" s="93">
        <v>92</v>
      </c>
      <c r="AY67" s="93">
        <v>87</v>
      </c>
      <c r="AZ67" s="93">
        <f t="shared" si="27"/>
        <v>269</v>
      </c>
      <c r="BA67" s="148">
        <f>ROUND(AVERAGE(5-4*(AZ67)/(AZ9)),1)</f>
        <v>1.4</v>
      </c>
      <c r="BB67" s="149">
        <f t="shared" si="21"/>
        <v>0.21</v>
      </c>
      <c r="BC67" s="165">
        <v>27</v>
      </c>
      <c r="BD67" s="148">
        <f>5-(4*BC67/BC9)</f>
        <v>1</v>
      </c>
      <c r="BE67" s="149">
        <f t="shared" si="22"/>
        <v>0.1</v>
      </c>
      <c r="BF67" s="81">
        <v>42</v>
      </c>
      <c r="BG67" s="157">
        <f>ROUND(AVERAGE(5-4*(BF67)/(BF9)),1)</f>
        <v>2.6</v>
      </c>
      <c r="BH67" s="149">
        <f t="shared" si="23"/>
        <v>0.78</v>
      </c>
      <c r="BI67" s="165">
        <f t="shared" si="24"/>
        <v>2.4694444444444441</v>
      </c>
      <c r="BJ67" s="165">
        <f>AL67+AQ67+AV67+BB67+BE67+BH67</f>
        <v>2.08</v>
      </c>
      <c r="BK67" s="165">
        <f t="shared" si="30"/>
        <v>2.2747222222222221</v>
      </c>
      <c r="BL67" s="81" t="s">
        <v>91</v>
      </c>
    </row>
    <row r="68" spans="1:64" x14ac:dyDescent="0.3">
      <c r="A68" s="304">
        <v>58</v>
      </c>
      <c r="B68" s="273" t="s">
        <v>429</v>
      </c>
      <c r="C68" s="237" t="s">
        <v>430</v>
      </c>
      <c r="D68" s="86">
        <v>27</v>
      </c>
      <c r="E68" s="86">
        <v>22</v>
      </c>
      <c r="F68" s="93">
        <f>SUM(D68+E68)</f>
        <v>49</v>
      </c>
      <c r="G68" s="266">
        <f>ROUND(AVERAGE(5-4*(F68)/(F9)),1)</f>
        <v>3</v>
      </c>
      <c r="H68" s="108">
        <f t="shared" si="28"/>
        <v>0.44999999999999996</v>
      </c>
      <c r="I68" s="308"/>
      <c r="J68" s="308"/>
      <c r="K68" s="78">
        <v>39</v>
      </c>
      <c r="L68" s="78">
        <v>30</v>
      </c>
      <c r="M68" s="81">
        <f t="shared" si="4"/>
        <v>69</v>
      </c>
      <c r="N68" s="266">
        <f>ROUND(AVERAGE(5-4*(M68)/(M9)),1)</f>
        <v>2.2000000000000002</v>
      </c>
      <c r="O68" s="108">
        <f t="shared" si="5"/>
        <v>0.33</v>
      </c>
      <c r="P68" s="308"/>
      <c r="Q68" s="308"/>
      <c r="R68" s="86">
        <v>39</v>
      </c>
      <c r="S68" s="86">
        <v>30</v>
      </c>
      <c r="T68" s="93">
        <f t="shared" si="6"/>
        <v>69</v>
      </c>
      <c r="U68" s="106">
        <f>ROUND(AVERAGE(5-4*(T68)/(T9)),1)</f>
        <v>2.2000000000000002</v>
      </c>
      <c r="V68" s="108">
        <f t="shared" si="7"/>
        <v>0.33</v>
      </c>
      <c r="W68" s="86">
        <v>83</v>
      </c>
      <c r="X68" s="95">
        <v>85</v>
      </c>
      <c r="Y68" s="96">
        <f t="shared" si="8"/>
        <v>168</v>
      </c>
      <c r="Z68" s="106">
        <f>ROUND(AVERAGE(5-4*(Y68)/(Y9)),1)</f>
        <v>1.6</v>
      </c>
      <c r="AA68" s="108">
        <f t="shared" si="9"/>
        <v>0.24</v>
      </c>
      <c r="AB68" s="98">
        <v>25.5</v>
      </c>
      <c r="AC68" s="106">
        <f t="shared" si="10"/>
        <v>1.2222222222222223</v>
      </c>
      <c r="AD68" s="108">
        <f t="shared" si="11"/>
        <v>0.12222222222222223</v>
      </c>
      <c r="AE68" s="86">
        <v>20</v>
      </c>
      <c r="AF68" s="107">
        <f t="shared" si="12"/>
        <v>3.9</v>
      </c>
      <c r="AG68" s="108">
        <f t="shared" si="13"/>
        <v>1.17</v>
      </c>
      <c r="AH68" s="96">
        <v>17</v>
      </c>
      <c r="AI68" s="93">
        <v>26</v>
      </c>
      <c r="AJ68" s="96">
        <f t="shared" si="14"/>
        <v>43</v>
      </c>
      <c r="AK68" s="106">
        <f>ROUND(AVERAGE(5-4*(AJ68)/(AJ9)),1)</f>
        <v>3.3</v>
      </c>
      <c r="AL68" s="108">
        <f t="shared" si="15"/>
        <v>0.49499999999999994</v>
      </c>
      <c r="AM68" s="93">
        <v>32</v>
      </c>
      <c r="AN68" s="93">
        <v>34</v>
      </c>
      <c r="AO68" s="96">
        <f t="shared" si="16"/>
        <v>66</v>
      </c>
      <c r="AP68" s="106">
        <f>ROUND(AVERAGE(5-4*(AO68)/(AO9)),1)</f>
        <v>2.4</v>
      </c>
      <c r="AQ68" s="158">
        <f t="shared" si="17"/>
        <v>0.36</v>
      </c>
      <c r="AR68" s="93">
        <v>30</v>
      </c>
      <c r="AS68" s="93">
        <v>30</v>
      </c>
      <c r="AT68" s="96">
        <f t="shared" si="18"/>
        <v>60</v>
      </c>
      <c r="AU68" s="148">
        <f>ROUND(AVERAGE(5-4*(AT68)/(AT9)),1)</f>
        <v>2.6</v>
      </c>
      <c r="AV68" s="149">
        <f t="shared" si="19"/>
        <v>0.39</v>
      </c>
      <c r="AW68" s="93">
        <v>80</v>
      </c>
      <c r="AX68" s="93">
        <v>80</v>
      </c>
      <c r="AY68" s="93">
        <v>85</v>
      </c>
      <c r="AZ68" s="93">
        <f t="shared" si="27"/>
        <v>245</v>
      </c>
      <c r="BA68" s="148">
        <f>ROUND(AVERAGE(5-4*(AZ68)/(AZ9)),1)</f>
        <v>1.7</v>
      </c>
      <c r="BB68" s="149">
        <f t="shared" si="21"/>
        <v>0.255</v>
      </c>
      <c r="BC68" s="81">
        <v>25.5</v>
      </c>
      <c r="BD68" s="148">
        <f>5-(4*BC68/BC9)</f>
        <v>1.2222222222222223</v>
      </c>
      <c r="BE68" s="149">
        <f t="shared" si="22"/>
        <v>0.12222222222222223</v>
      </c>
      <c r="BF68" s="81">
        <v>39</v>
      </c>
      <c r="BG68" s="157">
        <f>ROUND(AVERAGE(5-4*(BF68)/(BF9)),1)</f>
        <v>2.8</v>
      </c>
      <c r="BH68" s="149">
        <f t="shared" si="23"/>
        <v>0.84</v>
      </c>
      <c r="BI68" s="494">
        <f t="shared" si="24"/>
        <v>2.6422222222222222</v>
      </c>
      <c r="BJ68" s="494">
        <f t="shared" ref="BJ68" si="32">AL68+AQ68+AV68+BB68+BE68+BH68</f>
        <v>2.4622222222222221</v>
      </c>
      <c r="BK68" s="494">
        <v>2.5</v>
      </c>
      <c r="BL68" s="81" t="s">
        <v>91</v>
      </c>
    </row>
    <row r="69" spans="1:64" x14ac:dyDescent="0.3">
      <c r="A69" s="176"/>
      <c r="B69" s="176"/>
      <c r="C69" s="303" t="s">
        <v>211</v>
      </c>
      <c r="D69" s="4"/>
      <c r="E69" s="4"/>
      <c r="F69" s="4"/>
      <c r="G69" s="4"/>
      <c r="H69" s="4"/>
      <c r="I69" s="4"/>
      <c r="J69" s="4"/>
      <c r="K69" s="4"/>
      <c r="L69" s="58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103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103"/>
      <c r="BI69" s="165"/>
      <c r="BJ69" s="165"/>
      <c r="BK69" s="165"/>
      <c r="BL69" s="100"/>
    </row>
    <row r="70" spans="1:64" x14ac:dyDescent="0.3">
      <c r="A70" s="474"/>
      <c r="B70" s="474"/>
      <c r="C70" s="490"/>
      <c r="D70" s="474"/>
      <c r="E70" s="474"/>
      <c r="F70" s="474"/>
      <c r="G70" s="474"/>
      <c r="H70" s="474"/>
      <c r="I70" s="474"/>
      <c r="J70" s="474"/>
      <c r="K70" s="474"/>
      <c r="L70" s="491"/>
      <c r="M70" s="474"/>
      <c r="N70" s="474"/>
      <c r="O70" s="474"/>
      <c r="P70" s="474"/>
      <c r="Q70" s="474"/>
      <c r="R70" s="474"/>
      <c r="S70" s="474"/>
      <c r="T70" s="474"/>
      <c r="U70" s="474"/>
      <c r="V70" s="474"/>
      <c r="W70" s="474"/>
      <c r="X70" s="474"/>
      <c r="Y70" s="474"/>
      <c r="Z70" s="474"/>
      <c r="AA70" s="474"/>
      <c r="AB70" s="474"/>
      <c r="AC70" s="474"/>
      <c r="AD70" s="474"/>
      <c r="AE70" s="474"/>
      <c r="AF70" s="474"/>
      <c r="AG70" s="474"/>
      <c r="AH70" s="474"/>
      <c r="AI70" s="474"/>
      <c r="AJ70" s="474"/>
      <c r="AK70" s="474"/>
      <c r="AL70" s="474"/>
      <c r="AM70" s="474"/>
      <c r="AN70" s="474"/>
      <c r="AO70" s="474"/>
      <c r="AP70" s="474"/>
      <c r="AQ70" s="492"/>
      <c r="AR70" s="492"/>
      <c r="AS70" s="492"/>
      <c r="AT70" s="492"/>
      <c r="AU70" s="492"/>
      <c r="AV70" s="492"/>
      <c r="AW70" s="492"/>
      <c r="AX70" s="492"/>
      <c r="AY70" s="492"/>
      <c r="AZ70" s="492"/>
      <c r="BA70" s="492"/>
      <c r="BB70" s="492"/>
      <c r="BC70" s="492"/>
      <c r="BD70" s="492"/>
      <c r="BE70" s="492"/>
      <c r="BF70" s="492"/>
      <c r="BG70" s="492"/>
      <c r="BH70" s="492"/>
      <c r="BI70" s="404"/>
      <c r="BJ70" s="404"/>
      <c r="BK70" s="404"/>
      <c r="BL70" s="492"/>
    </row>
    <row r="71" spans="1:64" x14ac:dyDescent="0.3">
      <c r="A71" s="474"/>
      <c r="B71" s="474"/>
      <c r="C71" s="490"/>
      <c r="D71" s="474"/>
      <c r="E71" s="474"/>
      <c r="F71" s="474"/>
      <c r="G71" s="474"/>
      <c r="H71" s="474"/>
      <c r="I71" s="474"/>
      <c r="J71" s="474"/>
      <c r="K71" s="474"/>
      <c r="L71" s="491"/>
      <c r="M71" s="474"/>
      <c r="N71" s="474"/>
      <c r="O71" s="474"/>
      <c r="P71" s="474"/>
      <c r="Q71" s="474"/>
      <c r="R71" s="474"/>
      <c r="S71" s="474"/>
      <c r="T71" s="474"/>
      <c r="U71" s="474"/>
      <c r="V71" s="474"/>
      <c r="W71" s="474"/>
      <c r="X71" s="474"/>
      <c r="Y71" s="474"/>
      <c r="Z71" s="474"/>
      <c r="AA71" s="474"/>
      <c r="AB71" s="474"/>
      <c r="AC71" s="474"/>
      <c r="AD71" s="474"/>
      <c r="AE71" s="474"/>
      <c r="AF71" s="474"/>
      <c r="AG71" s="474"/>
      <c r="AH71" s="474"/>
      <c r="AI71" s="474"/>
      <c r="AJ71" s="474"/>
      <c r="AK71" s="474"/>
      <c r="AL71" s="474"/>
      <c r="AM71" s="474"/>
      <c r="AN71" s="474"/>
      <c r="AO71" s="474"/>
      <c r="AP71" s="474"/>
      <c r="AQ71" s="474"/>
      <c r="AR71" s="474"/>
      <c r="AS71" s="474"/>
      <c r="AT71" s="474"/>
      <c r="AU71" s="474"/>
      <c r="AV71" s="474"/>
      <c r="AW71" s="474"/>
      <c r="AX71" s="474"/>
      <c r="AY71" s="474"/>
      <c r="AZ71" s="474"/>
      <c r="BA71" s="474"/>
      <c r="BB71" s="474"/>
      <c r="BC71" s="474"/>
      <c r="BD71" s="474"/>
      <c r="BE71" s="474"/>
      <c r="BF71" s="474"/>
      <c r="BG71" s="474"/>
      <c r="BH71" s="474"/>
      <c r="BI71" s="404"/>
      <c r="BJ71" s="404"/>
      <c r="BK71" s="404"/>
      <c r="BL71" s="474"/>
    </row>
    <row r="72" spans="1:64" x14ac:dyDescent="0.3">
      <c r="A72" s="474"/>
      <c r="B72" s="474"/>
      <c r="C72" s="490"/>
      <c r="D72" s="474"/>
      <c r="E72" s="474"/>
      <c r="F72" s="474"/>
      <c r="G72" s="474"/>
      <c r="H72" s="474"/>
      <c r="I72" s="474"/>
      <c r="J72" s="474"/>
      <c r="K72" s="474"/>
      <c r="L72" s="491"/>
      <c r="M72" s="474"/>
      <c r="N72" s="474"/>
      <c r="O72" s="474"/>
      <c r="P72" s="474"/>
      <c r="Q72" s="474"/>
      <c r="R72" s="474"/>
      <c r="S72" s="474"/>
      <c r="T72" s="474"/>
      <c r="U72" s="474"/>
      <c r="V72" s="474"/>
      <c r="W72" s="474"/>
      <c r="X72" s="474"/>
      <c r="Y72" s="474"/>
      <c r="Z72" s="474"/>
      <c r="AA72" s="474"/>
      <c r="AB72" s="474"/>
      <c r="AC72" s="474"/>
      <c r="AD72" s="474"/>
      <c r="AE72" s="474"/>
      <c r="AF72" s="474"/>
      <c r="AG72" s="474"/>
      <c r="AH72" s="474"/>
      <c r="AI72" s="474"/>
      <c r="AJ72" s="474"/>
      <c r="AK72" s="474"/>
      <c r="AL72" s="474"/>
      <c r="AM72" s="474"/>
      <c r="AN72" s="474"/>
      <c r="AO72" s="474"/>
      <c r="AP72" s="474"/>
      <c r="AQ72" s="474"/>
      <c r="AR72" s="474"/>
      <c r="AS72" s="474"/>
      <c r="AT72" s="474"/>
      <c r="AU72" s="474"/>
      <c r="AV72" s="474"/>
      <c r="AW72" s="474"/>
      <c r="AX72" s="474"/>
      <c r="AY72" s="474"/>
      <c r="AZ72" s="474"/>
      <c r="BA72" s="474"/>
      <c r="BB72" s="474"/>
      <c r="BC72" s="474"/>
      <c r="BD72" s="474"/>
      <c r="BE72" s="474"/>
      <c r="BF72" s="474"/>
      <c r="BG72" s="474"/>
      <c r="BH72" s="474"/>
      <c r="BI72" s="474"/>
      <c r="BJ72" s="474"/>
      <c r="BK72" s="474"/>
      <c r="BL72" s="474"/>
    </row>
    <row r="73" spans="1:64" x14ac:dyDescent="0.3">
      <c r="A73" s="556"/>
      <c r="B73" s="556"/>
      <c r="K73" s="23"/>
      <c r="L73"/>
      <c r="M73" s="23"/>
      <c r="V73" s="66"/>
      <c r="Z73" s="541"/>
      <c r="AA73" s="541"/>
      <c r="AB73" s="541"/>
      <c r="AC73" s="541"/>
      <c r="AQ73" s="493"/>
      <c r="AR73" s="493"/>
      <c r="AS73" s="493"/>
      <c r="AT73" s="493"/>
      <c r="AU73" s="493"/>
      <c r="AV73" s="493"/>
      <c r="AW73" s="493"/>
      <c r="AX73" s="493"/>
      <c r="AY73" s="493"/>
      <c r="AZ73" s="493"/>
      <c r="BA73" s="493"/>
      <c r="BB73" s="493"/>
      <c r="BC73" s="493"/>
      <c r="BD73" s="493"/>
      <c r="BE73" s="493"/>
      <c r="BF73" s="493"/>
      <c r="BG73" s="493"/>
      <c r="BH73" s="493"/>
      <c r="BI73" s="493"/>
      <c r="BJ73" s="493"/>
      <c r="BK73" s="493"/>
      <c r="BL73" s="493"/>
    </row>
    <row r="74" spans="1:64" x14ac:dyDescent="0.3">
      <c r="B74" s="557" t="s">
        <v>60</v>
      </c>
      <c r="C74" s="557"/>
      <c r="D74" s="557"/>
      <c r="E74" s="557"/>
      <c r="F74" s="557"/>
      <c r="K74" s="23"/>
      <c r="L74"/>
      <c r="M74" s="23"/>
      <c r="Z74" s="104"/>
      <c r="AA74" s="104"/>
      <c r="AB74" s="104"/>
      <c r="AC74" s="104"/>
      <c r="AD74" s="104"/>
      <c r="AE74" s="104"/>
      <c r="AF74" s="104"/>
      <c r="AG74" s="104"/>
      <c r="AH74" s="104"/>
      <c r="AI74" s="104"/>
      <c r="AJ74" s="558" t="s">
        <v>18</v>
      </c>
      <c r="AK74" s="558"/>
      <c r="AL74" s="558"/>
      <c r="AM74" s="558"/>
      <c r="AN74" s="558"/>
      <c r="AO74" s="558"/>
      <c r="AP74" s="558"/>
      <c r="AQ74" s="46"/>
      <c r="AR74" s="46"/>
      <c r="AS74" s="46"/>
      <c r="AT74" s="46"/>
      <c r="AU74" s="46"/>
      <c r="AV74" s="46"/>
      <c r="AW74" s="46"/>
      <c r="AX74" s="46"/>
      <c r="AY74" s="46"/>
      <c r="AZ74" s="46"/>
      <c r="BA74" s="46"/>
      <c r="BB74" s="46"/>
      <c r="BC74" s="46"/>
      <c r="BD74" s="46"/>
      <c r="BE74" s="46"/>
      <c r="BF74" s="46"/>
      <c r="BG74" s="46"/>
      <c r="BH74" s="46"/>
      <c r="BI74" s="46"/>
      <c r="BJ74" s="46"/>
      <c r="BK74" s="46"/>
      <c r="BL74" s="46"/>
    </row>
    <row r="75" spans="1:64" x14ac:dyDescent="0.3">
      <c r="C75" s="540" t="s">
        <v>61</v>
      </c>
      <c r="D75" s="540"/>
      <c r="E75" s="540"/>
      <c r="F75" s="540"/>
      <c r="G75" s="540"/>
      <c r="H75" s="540"/>
      <c r="I75" s="540"/>
      <c r="J75" s="540"/>
      <c r="K75" s="540"/>
      <c r="L75" s="540"/>
      <c r="M75" s="540"/>
      <c r="AE75" s="173"/>
      <c r="AF75" s="173"/>
      <c r="AG75" s="173"/>
      <c r="AH75" s="173"/>
      <c r="AI75" s="173"/>
      <c r="AJ75" s="173"/>
      <c r="AK75" s="173"/>
      <c r="AL75" s="173"/>
      <c r="AM75" s="173"/>
      <c r="AN75" s="540" t="s">
        <v>519</v>
      </c>
      <c r="AO75" s="540"/>
      <c r="AP75" s="540"/>
      <c r="AQ75" s="540"/>
      <c r="AR75" s="540"/>
      <c r="AS75" s="540"/>
      <c r="AT75" s="540"/>
      <c r="AU75" s="540"/>
      <c r="AV75" s="540"/>
      <c r="AW75" s="540"/>
      <c r="AX75" s="540"/>
      <c r="AY75" s="540"/>
      <c r="AZ75" s="46"/>
      <c r="BA75" s="46"/>
      <c r="BB75" s="46"/>
      <c r="BC75" s="46"/>
      <c r="BD75" s="46"/>
      <c r="BE75" s="46"/>
      <c r="BF75" s="46"/>
      <c r="BG75" s="46"/>
      <c r="BH75" s="46"/>
      <c r="BI75" s="46"/>
      <c r="BJ75" s="46"/>
      <c r="BK75" s="46"/>
      <c r="BL75" s="46"/>
    </row>
    <row r="76" spans="1:64" x14ac:dyDescent="0.3">
      <c r="C76" s="541" t="s">
        <v>50</v>
      </c>
      <c r="D76" s="541"/>
      <c r="E76" s="541"/>
      <c r="F76" s="541"/>
      <c r="G76" s="541"/>
      <c r="H76" s="541"/>
      <c r="I76" s="541"/>
      <c r="J76" s="541"/>
      <c r="K76" s="541"/>
      <c r="AO76" s="542" t="s">
        <v>52</v>
      </c>
      <c r="AP76" s="542"/>
      <c r="AQ76" s="542"/>
      <c r="AR76" s="542"/>
      <c r="AS76" s="542"/>
      <c r="AT76" s="542"/>
      <c r="AU76" s="542"/>
      <c r="AV76" s="542"/>
      <c r="AW76" s="542"/>
      <c r="AX76" s="542"/>
      <c r="AY76" s="46"/>
      <c r="AZ76" s="46"/>
      <c r="BA76" s="46"/>
      <c r="BB76" s="46"/>
      <c r="BC76" s="46"/>
      <c r="BD76" s="46"/>
      <c r="BE76" s="46"/>
      <c r="BF76" s="46"/>
      <c r="BG76" s="46"/>
      <c r="BH76" s="46"/>
      <c r="BI76" s="46"/>
      <c r="BJ76" s="46"/>
      <c r="BK76" s="46"/>
      <c r="BL76" s="46"/>
    </row>
    <row r="77" spans="1:64" x14ac:dyDescent="0.3">
      <c r="AQ77" s="46"/>
      <c r="AR77" s="46"/>
      <c r="AS77" s="46"/>
      <c r="AT77" s="46"/>
      <c r="AU77" s="46"/>
      <c r="AV77" s="46"/>
      <c r="AW77" s="46"/>
      <c r="AX77" s="46"/>
      <c r="AY77" s="46"/>
      <c r="AZ77" s="46"/>
      <c r="BA77" s="46"/>
      <c r="BB77" s="46"/>
      <c r="BC77" s="46"/>
      <c r="BD77" s="46"/>
      <c r="BE77" s="46"/>
      <c r="BF77" s="46"/>
      <c r="BG77" s="46"/>
      <c r="BH77" s="46"/>
      <c r="BI77" s="46"/>
      <c r="BJ77" s="46"/>
      <c r="BK77" s="46"/>
      <c r="BL77" s="46"/>
    </row>
    <row r="78" spans="1:64" x14ac:dyDescent="0.3">
      <c r="AQ78" s="46"/>
      <c r="AR78" s="46"/>
      <c r="AS78" s="46"/>
      <c r="AT78" s="46"/>
      <c r="AU78" s="46"/>
      <c r="AV78" s="46"/>
      <c r="AW78" s="46"/>
      <c r="AX78" s="46"/>
      <c r="AY78" s="46"/>
      <c r="AZ78" s="46"/>
      <c r="BA78" s="46"/>
      <c r="BB78" s="46"/>
      <c r="BC78" s="46"/>
      <c r="BD78" s="46"/>
      <c r="BE78" s="46"/>
      <c r="BF78" s="46"/>
      <c r="BG78" s="46"/>
      <c r="BH78" s="46"/>
      <c r="BI78" s="46"/>
      <c r="BJ78" s="46"/>
      <c r="BK78" s="46"/>
      <c r="BL78" s="46"/>
    </row>
  </sheetData>
  <mergeCells count="69">
    <mergeCell ref="D3:H3"/>
    <mergeCell ref="I3:Z3"/>
    <mergeCell ref="AR3:AV3"/>
    <mergeCell ref="AW3:BH3"/>
    <mergeCell ref="C1:BL1"/>
    <mergeCell ref="D2:H2"/>
    <mergeCell ref="I2:Z2"/>
    <mergeCell ref="AR2:AV2"/>
    <mergeCell ref="AW2:BH2"/>
    <mergeCell ref="D4:H4"/>
    <mergeCell ref="I4:Z4"/>
    <mergeCell ref="AR4:AV4"/>
    <mergeCell ref="AW4:BH4"/>
    <mergeCell ref="D5:H5"/>
    <mergeCell ref="I5:Z5"/>
    <mergeCell ref="AR5:AV5"/>
    <mergeCell ref="AW5:BH5"/>
    <mergeCell ref="Q7:AD7"/>
    <mergeCell ref="V8:V9"/>
    <mergeCell ref="W8:X8"/>
    <mergeCell ref="Z8:Z9"/>
    <mergeCell ref="AA8:AA9"/>
    <mergeCell ref="A7:A9"/>
    <mergeCell ref="B7:B9"/>
    <mergeCell ref="C7:C9"/>
    <mergeCell ref="D7:H7"/>
    <mergeCell ref="J7:P7"/>
    <mergeCell ref="BJ7:BJ9"/>
    <mergeCell ref="BK7:BK9"/>
    <mergeCell ref="BL7:BL9"/>
    <mergeCell ref="G8:G9"/>
    <mergeCell ref="H8:H9"/>
    <mergeCell ref="I8:J8"/>
    <mergeCell ref="N8:N9"/>
    <mergeCell ref="O8:O9"/>
    <mergeCell ref="R8:S8"/>
    <mergeCell ref="U8:U9"/>
    <mergeCell ref="AE7:AG7"/>
    <mergeCell ref="AH7:AL7"/>
    <mergeCell ref="AM7:AQ7"/>
    <mergeCell ref="AR7:BE7"/>
    <mergeCell ref="BF7:BH7"/>
    <mergeCell ref="BI7:BI9"/>
    <mergeCell ref="BH8:BH9"/>
    <mergeCell ref="A73:B73"/>
    <mergeCell ref="Z73:AC73"/>
    <mergeCell ref="B74:F74"/>
    <mergeCell ref="AJ74:AP74"/>
    <mergeCell ref="AV8:AV9"/>
    <mergeCell ref="AW8:AX8"/>
    <mergeCell ref="BA8:BA9"/>
    <mergeCell ref="BB8:BB9"/>
    <mergeCell ref="BD8:BD9"/>
    <mergeCell ref="BE8:BE9"/>
    <mergeCell ref="AC8:AC9"/>
    <mergeCell ref="AD8:AD9"/>
    <mergeCell ref="AF8:AF9"/>
    <mergeCell ref="AG8:AG9"/>
    <mergeCell ref="AK8:AK9"/>
    <mergeCell ref="C75:M75"/>
    <mergeCell ref="AN75:AY75"/>
    <mergeCell ref="C76:K76"/>
    <mergeCell ref="AO76:AX76"/>
    <mergeCell ref="BG8:BG9"/>
    <mergeCell ref="AL8:AL9"/>
    <mergeCell ref="AP8:AP9"/>
    <mergeCell ref="AQ8:AQ9"/>
    <mergeCell ref="AR8:AS8"/>
    <mergeCell ref="AU8:AU9"/>
  </mergeCells>
  <pageMargins left="0.23622047244094491" right="0.23622047244094491" top="0.35433070866141736" bottom="0.35433070866141736" header="0.31496062992125984" footer="0.31496062992125984"/>
  <pageSetup paperSize="14" scale="73" fitToHeight="0" orientation="landscape" horizontalDpi="4294967292" verticalDpi="4294967292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5A993-6EDE-40A3-BBFC-F974D2059D2A}">
  <sheetPr>
    <tabColor rgb="FF00B0F0"/>
    <pageSetUpPr fitToPage="1"/>
  </sheetPr>
  <dimension ref="A1:BL83"/>
  <sheetViews>
    <sheetView view="pageBreakPreview" topLeftCell="A24" zoomScale="94" zoomScaleNormal="103" zoomScaleSheetLayoutView="94" zoomScalePageLayoutView="140" workbookViewId="0">
      <selection activeCell="C54" sqref="C54"/>
    </sheetView>
  </sheetViews>
  <sheetFormatPr defaultColWidth="8.88671875" defaultRowHeight="14.4" x14ac:dyDescent="0.3"/>
  <cols>
    <col min="1" max="1" width="3.109375" customWidth="1"/>
    <col min="2" max="2" width="9.109375" customWidth="1"/>
    <col min="3" max="3" width="19.77734375" customWidth="1"/>
    <col min="4" max="5" width="3" customWidth="1"/>
    <col min="6" max="6" width="3.109375" customWidth="1"/>
    <col min="7" max="7" width="3" customWidth="1"/>
    <col min="8" max="8" width="3.33203125" customWidth="1"/>
    <col min="9" max="9" width="2.44140625" hidden="1" customWidth="1"/>
    <col min="10" max="10" width="3" hidden="1" customWidth="1"/>
    <col min="11" max="11" width="2.6640625" customWidth="1"/>
    <col min="12" max="12" width="2.77734375" style="23" customWidth="1"/>
    <col min="13" max="13" width="3.33203125" customWidth="1"/>
    <col min="14" max="14" width="2.77734375" customWidth="1"/>
    <col min="15" max="15" width="3.33203125" customWidth="1"/>
    <col min="16" max="16" width="2.77734375" hidden="1" customWidth="1"/>
    <col min="17" max="17" width="3" hidden="1" customWidth="1"/>
    <col min="18" max="18" width="2.88671875" customWidth="1"/>
    <col min="19" max="19" width="2.77734375" customWidth="1"/>
    <col min="20" max="20" width="3.21875" customWidth="1"/>
    <col min="21" max="21" width="3.109375" customWidth="1"/>
    <col min="22" max="22" width="3.6640625" customWidth="1"/>
    <col min="23" max="23" width="3.21875" customWidth="1"/>
    <col min="24" max="24" width="3" customWidth="1"/>
    <col min="25" max="25" width="3.109375" customWidth="1"/>
    <col min="26" max="26" width="3.21875" customWidth="1"/>
    <col min="27" max="28" width="3.6640625" customWidth="1"/>
    <col min="29" max="30" width="3.33203125" customWidth="1"/>
    <col min="31" max="31" width="3.109375" customWidth="1"/>
    <col min="32" max="33" width="3.33203125" customWidth="1"/>
    <col min="34" max="34" width="2.77734375" customWidth="1"/>
    <col min="35" max="35" width="3" customWidth="1"/>
    <col min="36" max="36" width="3.21875" customWidth="1"/>
    <col min="37" max="37" width="3" customWidth="1"/>
    <col min="38" max="38" width="3.33203125" customWidth="1"/>
    <col min="39" max="39" width="3" customWidth="1"/>
    <col min="40" max="40" width="3.109375" customWidth="1"/>
    <col min="41" max="41" width="3.21875" customWidth="1"/>
    <col min="42" max="42" width="3" customWidth="1"/>
    <col min="43" max="43" width="3.33203125" customWidth="1"/>
    <col min="44" max="44" width="3" customWidth="1"/>
    <col min="45" max="45" width="3.21875" customWidth="1"/>
    <col min="46" max="47" width="3.109375" customWidth="1"/>
    <col min="48" max="48" width="3.6640625" customWidth="1"/>
    <col min="49" max="49" width="3" customWidth="1"/>
    <col min="50" max="50" width="3.21875" customWidth="1"/>
    <col min="51" max="51" width="3.33203125" customWidth="1"/>
    <col min="52" max="53" width="3.21875" customWidth="1"/>
    <col min="54" max="54" width="3.33203125" customWidth="1"/>
    <col min="55" max="55" width="3.77734375" customWidth="1"/>
    <col min="56" max="56" width="3" customWidth="1"/>
    <col min="57" max="57" width="3.6640625" customWidth="1"/>
    <col min="58" max="58" width="3.77734375" customWidth="1"/>
    <col min="59" max="59" width="3.33203125" customWidth="1"/>
    <col min="60" max="60" width="3.6640625" customWidth="1"/>
    <col min="61" max="62" width="3.33203125" customWidth="1"/>
    <col min="63" max="63" width="3.6640625" customWidth="1"/>
    <col min="64" max="64" width="8.44140625" customWidth="1"/>
  </cols>
  <sheetData>
    <row r="1" spans="1:64" ht="15.9" customHeight="1" x14ac:dyDescent="0.3">
      <c r="C1" s="538" t="s">
        <v>209</v>
      </c>
      <c r="D1" s="538"/>
      <c r="E1" s="538"/>
      <c r="F1" s="538"/>
      <c r="G1" s="538"/>
      <c r="H1" s="538"/>
      <c r="I1" s="538"/>
      <c r="J1" s="538"/>
      <c r="K1" s="538"/>
      <c r="L1" s="538"/>
      <c r="M1" s="538"/>
      <c r="N1" s="538"/>
      <c r="O1" s="538"/>
      <c r="P1" s="538"/>
      <c r="Q1" s="538"/>
      <c r="R1" s="538"/>
      <c r="S1" s="538"/>
      <c r="T1" s="538"/>
      <c r="U1" s="538"/>
      <c r="V1" s="538"/>
      <c r="W1" s="538"/>
      <c r="X1" s="538"/>
      <c r="Y1" s="538"/>
      <c r="Z1" s="538"/>
      <c r="AA1" s="538"/>
      <c r="AB1" s="538"/>
      <c r="AC1" s="538"/>
      <c r="AD1" s="538"/>
      <c r="AE1" s="538"/>
      <c r="AF1" s="538"/>
      <c r="AG1" s="538"/>
      <c r="AH1" s="538"/>
      <c r="AI1" s="538"/>
      <c r="AJ1" s="538"/>
      <c r="AK1" s="538"/>
      <c r="AL1" s="538"/>
      <c r="AM1" s="538"/>
      <c r="AN1" s="538"/>
      <c r="AO1" s="538"/>
      <c r="AP1" s="538"/>
      <c r="AQ1" s="538"/>
      <c r="AR1" s="538"/>
      <c r="AS1" s="538"/>
      <c r="AT1" s="538"/>
      <c r="AU1" s="538"/>
      <c r="AV1" s="538"/>
      <c r="AW1" s="538"/>
      <c r="AX1" s="538"/>
      <c r="AY1" s="538"/>
      <c r="AZ1" s="538"/>
      <c r="BA1" s="538"/>
      <c r="BB1" s="538"/>
      <c r="BC1" s="538"/>
      <c r="BD1" s="538"/>
      <c r="BE1" s="538"/>
      <c r="BF1" s="538"/>
      <c r="BG1" s="538"/>
      <c r="BH1" s="538"/>
      <c r="BI1" s="538"/>
      <c r="BJ1" s="538"/>
      <c r="BK1" s="538"/>
      <c r="BL1" s="538"/>
    </row>
    <row r="2" spans="1:64" ht="15" customHeight="1" x14ac:dyDescent="0.3">
      <c r="C2" s="220"/>
      <c r="D2" s="632" t="s">
        <v>19</v>
      </c>
      <c r="E2" s="632"/>
      <c r="F2" s="632"/>
      <c r="G2" s="632"/>
      <c r="H2" s="632"/>
      <c r="I2" s="633" t="s">
        <v>63</v>
      </c>
      <c r="J2" s="633"/>
      <c r="K2" s="633"/>
      <c r="L2" s="633"/>
      <c r="M2" s="633"/>
      <c r="N2" s="633"/>
      <c r="O2" s="633"/>
      <c r="P2" s="633"/>
      <c r="Q2" s="633"/>
      <c r="R2" s="633"/>
      <c r="S2" s="633"/>
      <c r="T2" s="633"/>
      <c r="U2" s="633"/>
      <c r="V2" s="633"/>
      <c r="W2" s="633"/>
      <c r="X2" s="633"/>
      <c r="Y2" s="633"/>
      <c r="Z2" s="633"/>
      <c r="AR2" s="634" t="s">
        <v>21</v>
      </c>
      <c r="AS2" s="634"/>
      <c r="AT2" s="634"/>
      <c r="AU2" s="634"/>
      <c r="AV2" s="634"/>
      <c r="AW2" s="635" t="s">
        <v>210</v>
      </c>
      <c r="AX2" s="635"/>
      <c r="AY2" s="635"/>
      <c r="AZ2" s="635"/>
      <c r="BA2" s="635"/>
      <c r="BB2" s="635"/>
      <c r="BC2" s="635"/>
      <c r="BD2" s="635"/>
      <c r="BE2" s="635"/>
      <c r="BF2" s="635"/>
      <c r="BG2" s="635"/>
      <c r="BH2" s="635"/>
    </row>
    <row r="3" spans="1:64" ht="15" customHeight="1" x14ac:dyDescent="0.3">
      <c r="D3" s="632" t="s">
        <v>20</v>
      </c>
      <c r="E3" s="632"/>
      <c r="F3" s="632"/>
      <c r="G3" s="632"/>
      <c r="H3" s="632"/>
      <c r="I3" s="633" t="s">
        <v>64</v>
      </c>
      <c r="J3" s="633"/>
      <c r="K3" s="633"/>
      <c r="L3" s="633"/>
      <c r="M3" s="633"/>
      <c r="N3" s="633"/>
      <c r="O3" s="633"/>
      <c r="P3" s="633"/>
      <c r="Q3" s="633"/>
      <c r="R3" s="633"/>
      <c r="S3" s="633"/>
      <c r="T3" s="633"/>
      <c r="U3" s="633"/>
      <c r="V3" s="633"/>
      <c r="W3" s="633"/>
      <c r="X3" s="633"/>
      <c r="Y3" s="633"/>
      <c r="Z3" s="633"/>
      <c r="AR3" s="634" t="s">
        <v>40</v>
      </c>
      <c r="AS3" s="634"/>
      <c r="AT3" s="634"/>
      <c r="AU3" s="634"/>
      <c r="AV3" s="634"/>
      <c r="AW3" s="635" t="s">
        <v>66</v>
      </c>
      <c r="AX3" s="635"/>
      <c r="AY3" s="635"/>
      <c r="AZ3" s="635"/>
      <c r="BA3" s="635"/>
      <c r="BB3" s="635"/>
      <c r="BC3" s="635"/>
      <c r="BD3" s="635"/>
      <c r="BE3" s="635"/>
      <c r="BF3" s="635"/>
      <c r="BG3" s="635"/>
      <c r="BH3" s="635"/>
    </row>
    <row r="4" spans="1:64" ht="15" customHeight="1" x14ac:dyDescent="0.3">
      <c r="C4" s="220" t="s">
        <v>36</v>
      </c>
      <c r="D4" s="632" t="s">
        <v>22</v>
      </c>
      <c r="E4" s="632"/>
      <c r="F4" s="632"/>
      <c r="G4" s="632"/>
      <c r="H4" s="632"/>
      <c r="I4" s="633" t="s">
        <v>306</v>
      </c>
      <c r="J4" s="633"/>
      <c r="K4" s="633"/>
      <c r="L4" s="633"/>
      <c r="M4" s="633"/>
      <c r="N4" s="633"/>
      <c r="O4" s="633"/>
      <c r="P4" s="633"/>
      <c r="Q4" s="633"/>
      <c r="R4" s="633"/>
      <c r="S4" s="633"/>
      <c r="T4" s="633"/>
      <c r="U4" s="633"/>
      <c r="V4" s="633"/>
      <c r="W4" s="633"/>
      <c r="X4" s="633"/>
      <c r="Y4" s="633"/>
      <c r="Z4" s="633"/>
      <c r="AR4" s="634" t="s">
        <v>41</v>
      </c>
      <c r="AS4" s="634"/>
      <c r="AT4" s="634"/>
      <c r="AU4" s="634"/>
      <c r="AV4" s="634"/>
      <c r="AW4" s="635" t="s">
        <v>308</v>
      </c>
      <c r="AX4" s="635"/>
      <c r="AY4" s="635"/>
      <c r="AZ4" s="635"/>
      <c r="BA4" s="635"/>
      <c r="BB4" s="635"/>
      <c r="BC4" s="635"/>
      <c r="BD4" s="635"/>
      <c r="BE4" s="635"/>
      <c r="BF4" s="635"/>
      <c r="BG4" s="635"/>
      <c r="BH4" s="635"/>
    </row>
    <row r="5" spans="1:64" ht="15" customHeight="1" x14ac:dyDescent="0.3">
      <c r="C5" s="220"/>
      <c r="D5" s="632" t="s">
        <v>23</v>
      </c>
      <c r="E5" s="632"/>
      <c r="F5" s="632"/>
      <c r="G5" s="632"/>
      <c r="H5" s="632"/>
      <c r="I5" s="633" t="s">
        <v>65</v>
      </c>
      <c r="J5" s="633"/>
      <c r="K5" s="633"/>
      <c r="L5" s="633"/>
      <c r="M5" s="633"/>
      <c r="N5" s="633"/>
      <c r="O5" s="633"/>
      <c r="P5" s="633"/>
      <c r="Q5" s="633"/>
      <c r="R5" s="633"/>
      <c r="S5" s="633"/>
      <c r="T5" s="633"/>
      <c r="U5" s="633"/>
      <c r="V5" s="633"/>
      <c r="W5" s="633"/>
      <c r="X5" s="633"/>
      <c r="Y5" s="633"/>
      <c r="Z5" s="633"/>
      <c r="AR5" s="634" t="s">
        <v>42</v>
      </c>
      <c r="AS5" s="634"/>
      <c r="AT5" s="634"/>
      <c r="AU5" s="634"/>
      <c r="AV5" s="634"/>
      <c r="AW5" s="635" t="s">
        <v>307</v>
      </c>
      <c r="AX5" s="635"/>
      <c r="AY5" s="635"/>
      <c r="AZ5" s="635"/>
      <c r="BA5" s="635"/>
      <c r="BB5" s="635"/>
      <c r="BC5" s="635"/>
      <c r="BD5" s="635"/>
      <c r="BE5" s="635"/>
      <c r="BF5" s="635"/>
      <c r="BG5" s="635"/>
      <c r="BH5" s="635"/>
    </row>
    <row r="6" spans="1:64" x14ac:dyDescent="0.3">
      <c r="C6" s="6" t="s">
        <v>37</v>
      </c>
      <c r="D6" s="16"/>
      <c r="E6" s="16"/>
      <c r="I6" s="5"/>
      <c r="K6" s="10"/>
      <c r="M6" s="7"/>
      <c r="Y6" s="8"/>
    </row>
    <row r="7" spans="1:64" ht="18.75" customHeight="1" x14ac:dyDescent="0.3">
      <c r="A7" s="610" t="s">
        <v>8</v>
      </c>
      <c r="B7" s="613" t="s">
        <v>24</v>
      </c>
      <c r="C7" s="616" t="s">
        <v>17</v>
      </c>
      <c r="D7" s="619" t="s">
        <v>62</v>
      </c>
      <c r="E7" s="620"/>
      <c r="F7" s="620"/>
      <c r="G7" s="620"/>
      <c r="H7" s="621"/>
      <c r="I7" s="69"/>
      <c r="J7" s="622" t="s">
        <v>67</v>
      </c>
      <c r="K7" s="623"/>
      <c r="L7" s="623"/>
      <c r="M7" s="623"/>
      <c r="N7" s="623"/>
      <c r="O7" s="623"/>
      <c r="P7" s="624"/>
      <c r="Q7" s="625" t="s">
        <v>30</v>
      </c>
      <c r="R7" s="626"/>
      <c r="S7" s="626"/>
      <c r="T7" s="626"/>
      <c r="U7" s="626"/>
      <c r="V7" s="626"/>
      <c r="W7" s="626"/>
      <c r="X7" s="626"/>
      <c r="Y7" s="626"/>
      <c r="Z7" s="626"/>
      <c r="AA7" s="626"/>
      <c r="AB7" s="626"/>
      <c r="AC7" s="626"/>
      <c r="AD7" s="627"/>
      <c r="AE7" s="595" t="s">
        <v>31</v>
      </c>
      <c r="AF7" s="596"/>
      <c r="AG7" s="596"/>
      <c r="AH7" s="597" t="s">
        <v>62</v>
      </c>
      <c r="AI7" s="598"/>
      <c r="AJ7" s="598"/>
      <c r="AK7" s="598"/>
      <c r="AL7" s="598"/>
      <c r="AM7" s="599" t="s">
        <v>67</v>
      </c>
      <c r="AN7" s="600"/>
      <c r="AO7" s="600"/>
      <c r="AP7" s="600"/>
      <c r="AQ7" s="601"/>
      <c r="AR7" s="602" t="s">
        <v>75</v>
      </c>
      <c r="AS7" s="603"/>
      <c r="AT7" s="603"/>
      <c r="AU7" s="603"/>
      <c r="AV7" s="603"/>
      <c r="AW7" s="603"/>
      <c r="AX7" s="603"/>
      <c r="AY7" s="603"/>
      <c r="AZ7" s="603"/>
      <c r="BA7" s="603"/>
      <c r="BB7" s="603"/>
      <c r="BC7" s="603"/>
      <c r="BD7" s="603"/>
      <c r="BE7" s="604"/>
      <c r="BF7" s="605" t="s">
        <v>32</v>
      </c>
      <c r="BG7" s="606"/>
      <c r="BH7" s="606"/>
      <c r="BI7" s="607" t="s">
        <v>88</v>
      </c>
      <c r="BJ7" s="578" t="s">
        <v>89</v>
      </c>
      <c r="BK7" s="581" t="s">
        <v>90</v>
      </c>
      <c r="BL7" s="584" t="s">
        <v>16</v>
      </c>
    </row>
    <row r="8" spans="1:64" ht="15.75" customHeight="1" x14ac:dyDescent="0.3">
      <c r="A8" s="611"/>
      <c r="B8" s="614"/>
      <c r="C8" s="617"/>
      <c r="D8" s="88" t="s">
        <v>25</v>
      </c>
      <c r="E8" s="89" t="s">
        <v>26</v>
      </c>
      <c r="F8" s="131" t="s">
        <v>70</v>
      </c>
      <c r="G8" s="587" t="s">
        <v>27</v>
      </c>
      <c r="H8" s="570">
        <v>0.15</v>
      </c>
      <c r="I8" s="590" t="s">
        <v>33</v>
      </c>
      <c r="J8" s="591"/>
      <c r="K8" s="91" t="s">
        <v>33</v>
      </c>
      <c r="L8" s="92" t="s">
        <v>34</v>
      </c>
      <c r="M8" s="132" t="s">
        <v>70</v>
      </c>
      <c r="N8" s="576" t="s">
        <v>27</v>
      </c>
      <c r="O8" s="570">
        <v>0.15</v>
      </c>
      <c r="P8" s="72"/>
      <c r="Q8" s="73"/>
      <c r="R8" s="592" t="s">
        <v>68</v>
      </c>
      <c r="S8" s="593"/>
      <c r="T8" s="221" t="s">
        <v>70</v>
      </c>
      <c r="U8" s="594" t="s">
        <v>27</v>
      </c>
      <c r="V8" s="548">
        <v>0.15</v>
      </c>
      <c r="W8" s="628" t="s">
        <v>69</v>
      </c>
      <c r="X8" s="629"/>
      <c r="Y8" s="130" t="s">
        <v>70</v>
      </c>
      <c r="Z8" s="630" t="s">
        <v>27</v>
      </c>
      <c r="AA8" s="559">
        <v>0.15</v>
      </c>
      <c r="AB8" s="97" t="s">
        <v>71</v>
      </c>
      <c r="AC8" s="568" t="s">
        <v>27</v>
      </c>
      <c r="AD8" s="570">
        <v>0.1</v>
      </c>
      <c r="AE8" s="99" t="s">
        <v>28</v>
      </c>
      <c r="AF8" s="572" t="s">
        <v>29</v>
      </c>
      <c r="AG8" s="574">
        <v>0.3</v>
      </c>
      <c r="AH8" s="133" t="s">
        <v>76</v>
      </c>
      <c r="AI8" s="134" t="s">
        <v>77</v>
      </c>
      <c r="AJ8" s="135" t="s">
        <v>70</v>
      </c>
      <c r="AK8" s="576" t="s">
        <v>27</v>
      </c>
      <c r="AL8" s="545">
        <v>0.15</v>
      </c>
      <c r="AM8" s="116" t="s">
        <v>78</v>
      </c>
      <c r="AN8" s="137" t="s">
        <v>79</v>
      </c>
      <c r="AO8" s="136" t="s">
        <v>70</v>
      </c>
      <c r="AP8" s="547" t="s">
        <v>27</v>
      </c>
      <c r="AQ8" s="548">
        <v>0.15</v>
      </c>
      <c r="AR8" s="550" t="s">
        <v>68</v>
      </c>
      <c r="AS8" s="551"/>
      <c r="AT8" s="138" t="s">
        <v>70</v>
      </c>
      <c r="AU8" s="552" t="s">
        <v>27</v>
      </c>
      <c r="AV8" s="559">
        <v>0.15</v>
      </c>
      <c r="AW8" s="561" t="s">
        <v>69</v>
      </c>
      <c r="AX8" s="562"/>
      <c r="AY8" s="121" t="s">
        <v>74</v>
      </c>
      <c r="AZ8" s="140" t="s">
        <v>70</v>
      </c>
      <c r="BA8" s="563" t="s">
        <v>27</v>
      </c>
      <c r="BB8" s="565">
        <v>0.15</v>
      </c>
      <c r="BC8" s="139" t="s">
        <v>71</v>
      </c>
      <c r="BD8" s="567" t="s">
        <v>27</v>
      </c>
      <c r="BE8" s="545">
        <v>0.1</v>
      </c>
      <c r="BF8" s="155" t="s">
        <v>28</v>
      </c>
      <c r="BG8" s="543" t="s">
        <v>29</v>
      </c>
      <c r="BH8" s="554">
        <v>0.3</v>
      </c>
      <c r="BI8" s="608"/>
      <c r="BJ8" s="579"/>
      <c r="BK8" s="582"/>
      <c r="BL8" s="585"/>
    </row>
    <row r="9" spans="1:64" ht="13.5" customHeight="1" x14ac:dyDescent="0.3">
      <c r="A9" s="612"/>
      <c r="B9" s="615"/>
      <c r="C9" s="618"/>
      <c r="D9" s="71">
        <v>50</v>
      </c>
      <c r="E9" s="71">
        <v>50</v>
      </c>
      <c r="F9" s="85">
        <v>100</v>
      </c>
      <c r="G9" s="588"/>
      <c r="H9" s="589"/>
      <c r="I9" s="19"/>
      <c r="J9" s="85">
        <v>30</v>
      </c>
      <c r="K9" s="85">
        <v>50</v>
      </c>
      <c r="L9" s="85">
        <v>50</v>
      </c>
      <c r="M9" s="71">
        <v>100</v>
      </c>
      <c r="N9" s="577"/>
      <c r="O9" s="571"/>
      <c r="P9" s="21" t="e">
        <f>ROUND(5-4*#REF!/50,1)</f>
        <v>#REF!</v>
      </c>
      <c r="Q9" s="21" t="e">
        <f>ROUND(5-4*P9/50,1)</f>
        <v>#REF!</v>
      </c>
      <c r="R9" s="269">
        <v>50</v>
      </c>
      <c r="S9" s="85">
        <v>50</v>
      </c>
      <c r="T9" s="94">
        <v>100</v>
      </c>
      <c r="U9" s="594"/>
      <c r="V9" s="549"/>
      <c r="W9" s="82">
        <v>100</v>
      </c>
      <c r="X9" s="82">
        <v>100</v>
      </c>
      <c r="Y9" s="82">
        <v>200</v>
      </c>
      <c r="Z9" s="631"/>
      <c r="AA9" s="560"/>
      <c r="AB9" s="19">
        <v>27</v>
      </c>
      <c r="AC9" s="569"/>
      <c r="AD9" s="571"/>
      <c r="AE9" s="19">
        <v>70</v>
      </c>
      <c r="AF9" s="573"/>
      <c r="AG9" s="575"/>
      <c r="AH9" s="19">
        <v>50</v>
      </c>
      <c r="AI9" s="19">
        <v>50</v>
      </c>
      <c r="AJ9" s="82">
        <v>100</v>
      </c>
      <c r="AK9" s="577"/>
      <c r="AL9" s="546"/>
      <c r="AM9" s="125">
        <v>50</v>
      </c>
      <c r="AN9" s="82">
        <v>50</v>
      </c>
      <c r="AO9" s="82">
        <v>100</v>
      </c>
      <c r="AP9" s="547"/>
      <c r="AQ9" s="549"/>
      <c r="AR9" s="82">
        <v>50</v>
      </c>
      <c r="AS9" s="127">
        <v>50</v>
      </c>
      <c r="AT9" s="82">
        <v>100</v>
      </c>
      <c r="AU9" s="553"/>
      <c r="AV9" s="560"/>
      <c r="AW9" s="127">
        <v>100</v>
      </c>
      <c r="AX9" s="127">
        <v>100</v>
      </c>
      <c r="AY9" s="127">
        <v>100</v>
      </c>
      <c r="AZ9" s="128">
        <v>300</v>
      </c>
      <c r="BA9" s="564"/>
      <c r="BB9" s="566"/>
      <c r="BC9" s="127">
        <v>27</v>
      </c>
      <c r="BD9" s="564"/>
      <c r="BE9" s="546"/>
      <c r="BF9" s="120">
        <v>70</v>
      </c>
      <c r="BG9" s="544"/>
      <c r="BH9" s="555"/>
      <c r="BI9" s="609"/>
      <c r="BJ9" s="580"/>
      <c r="BK9" s="583"/>
      <c r="BL9" s="586"/>
    </row>
    <row r="10" spans="1:64" ht="18" customHeight="1" x14ac:dyDescent="0.3">
      <c r="A10" s="42"/>
      <c r="B10" s="42"/>
      <c r="C10" s="239" t="s">
        <v>35</v>
      </c>
      <c r="D10" s="70"/>
      <c r="E10" s="70"/>
      <c r="F10" s="70"/>
      <c r="G10" s="70"/>
      <c r="H10" s="70"/>
      <c r="I10" s="72"/>
      <c r="J10" s="59"/>
      <c r="K10" s="59"/>
      <c r="L10" s="59"/>
      <c r="M10" s="59"/>
      <c r="N10" s="59"/>
      <c r="O10" s="59"/>
      <c r="P10" s="21" t="e">
        <f>ROUND(5-4*#REF!/10,1)</f>
        <v>#REF!</v>
      </c>
      <c r="Q10" s="22"/>
      <c r="R10" s="59"/>
      <c r="S10" s="66"/>
      <c r="T10" s="72"/>
      <c r="U10" s="84"/>
      <c r="V10" s="72"/>
      <c r="W10" s="59"/>
      <c r="X10" s="72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72"/>
      <c r="AO10" s="72"/>
      <c r="AP10" s="72"/>
      <c r="AR10" s="118"/>
      <c r="AS10" s="72"/>
      <c r="AT10" s="72"/>
    </row>
    <row r="11" spans="1:64" ht="15.75" customHeight="1" x14ac:dyDescent="0.3">
      <c r="A11" s="392">
        <v>1</v>
      </c>
      <c r="B11" s="328" t="s">
        <v>99</v>
      </c>
      <c r="C11" s="329" t="s">
        <v>100</v>
      </c>
      <c r="D11" s="330">
        <v>7</v>
      </c>
      <c r="E11" s="370">
        <v>30</v>
      </c>
      <c r="F11" s="331">
        <f>SUM(D11+E11)</f>
        <v>37</v>
      </c>
      <c r="G11" s="332">
        <f>ROUND(AVERAGE(5-4*(F11)/(F9)),1)</f>
        <v>3.5</v>
      </c>
      <c r="H11" s="333">
        <f>G11*0.15</f>
        <v>0.52500000000000002</v>
      </c>
      <c r="I11" s="373">
        <v>28</v>
      </c>
      <c r="J11" s="374">
        <f>ROUND(5-4*I11/30,1)</f>
        <v>1.3</v>
      </c>
      <c r="K11" s="335"/>
      <c r="L11" s="335"/>
      <c r="M11" s="336"/>
      <c r="N11" s="332">
        <f>ROUND(AVERAGE(5-4*(M11)/(M9)),1)</f>
        <v>5</v>
      </c>
      <c r="O11" s="337">
        <f>N11*0.15</f>
        <v>0.75</v>
      </c>
      <c r="P11" s="375" t="e">
        <f>ROUND(5-4*#REF!/10,1)</f>
        <v>#REF!</v>
      </c>
      <c r="Q11" s="376"/>
      <c r="R11" s="330"/>
      <c r="S11" s="330"/>
      <c r="T11" s="331"/>
      <c r="U11" s="341">
        <f>ROUND(AVERAGE(5-4*(T11)/(T9)),1)</f>
        <v>5</v>
      </c>
      <c r="V11" s="337">
        <f>U11*0.15</f>
        <v>0.75</v>
      </c>
      <c r="W11" s="370"/>
      <c r="X11" s="339"/>
      <c r="Y11" s="340"/>
      <c r="Z11" s="341">
        <f>ROUND(AVERAGE(5-4*(Y11)/(Y9)),1)</f>
        <v>5</v>
      </c>
      <c r="AA11" s="337">
        <f>Z11*0.15</f>
        <v>0.75</v>
      </c>
      <c r="AB11" s="342">
        <v>19.5</v>
      </c>
      <c r="AC11" s="341">
        <f>5-(4*AB11/27)</f>
        <v>2.1111111111111112</v>
      </c>
      <c r="AD11" s="337">
        <f>AC11*0.1</f>
        <v>0.21111111111111114</v>
      </c>
      <c r="AE11" s="370">
        <v>12</v>
      </c>
      <c r="AF11" s="343">
        <f>ROUND(AVERAGE(5-4*(AE11)/(70)),1)</f>
        <v>4.3</v>
      </c>
      <c r="AG11" s="337">
        <f>AF11*0.3</f>
        <v>1.2899999999999998</v>
      </c>
      <c r="AH11" s="340"/>
      <c r="AI11" s="340"/>
      <c r="AJ11" s="340"/>
      <c r="AK11" s="341">
        <f>ROUND(AVERAGE(5-4*(AJ11)/(AJ9)),1)</f>
        <v>5</v>
      </c>
      <c r="AL11" s="337">
        <f>AK11*0.15</f>
        <v>0.75</v>
      </c>
      <c r="AM11" s="340"/>
      <c r="AN11" s="340"/>
      <c r="AO11" s="340"/>
      <c r="AP11" s="341">
        <f>ROUND(AVERAGE(5-4*(AO11)/(AO9)),1)</f>
        <v>5</v>
      </c>
      <c r="AQ11" s="344">
        <f>AP11*0.15</f>
        <v>0.75</v>
      </c>
      <c r="AR11" s="331"/>
      <c r="AS11" s="340"/>
      <c r="AT11" s="340"/>
      <c r="AU11" s="345">
        <f>ROUND(AVERAGE(5-4*(AT11)/(AT9)),1)</f>
        <v>5</v>
      </c>
      <c r="AV11" s="346">
        <f>AU11*0.15</f>
        <v>0.75</v>
      </c>
      <c r="AW11" s="331"/>
      <c r="AX11" s="331"/>
      <c r="AY11" s="331"/>
      <c r="AZ11" s="331"/>
      <c r="BA11" s="345">
        <f>ROUND(AVERAGE(5-4*(AZ11)/(AZ9)),1)</f>
        <v>5</v>
      </c>
      <c r="BB11" s="346">
        <f>BA11*0.15</f>
        <v>0.75</v>
      </c>
      <c r="BC11" s="348"/>
      <c r="BD11" s="345">
        <f>5-(4*BC11/BC9)</f>
        <v>5</v>
      </c>
      <c r="BE11" s="346">
        <f>BD11*0.1</f>
        <v>0.5</v>
      </c>
      <c r="BF11" s="336"/>
      <c r="BG11" s="349">
        <f>ROUND(AVERAGE(5-4*(BF11)/(BF9)),1)</f>
        <v>5</v>
      </c>
      <c r="BH11" s="347">
        <f>BG11*0.3</f>
        <v>1.5</v>
      </c>
      <c r="BI11" s="348" t="s">
        <v>93</v>
      </c>
      <c r="BJ11" s="348" t="s">
        <v>93</v>
      </c>
      <c r="BK11" s="348" t="s">
        <v>95</v>
      </c>
      <c r="BL11" s="350">
        <v>45992</v>
      </c>
    </row>
    <row r="12" spans="1:64" ht="12.75" customHeight="1" x14ac:dyDescent="0.3">
      <c r="A12" s="63">
        <v>2</v>
      </c>
      <c r="B12" s="273" t="s">
        <v>103</v>
      </c>
      <c r="C12" s="237" t="s">
        <v>104</v>
      </c>
      <c r="D12" s="86">
        <v>42</v>
      </c>
      <c r="E12" s="83">
        <v>19</v>
      </c>
      <c r="F12" s="93">
        <f t="shared" ref="F12:F72" si="0">SUM(D12+E12)</f>
        <v>61</v>
      </c>
      <c r="G12" s="266">
        <f>ROUND(AVERAGE(5-4*(F12)/(F9)),1)</f>
        <v>2.6</v>
      </c>
      <c r="H12" s="245">
        <f t="shared" ref="H12:H23" si="1">G12*0.15</f>
        <v>0.39</v>
      </c>
      <c r="I12" s="246">
        <v>26</v>
      </c>
      <c r="J12" s="247">
        <f t="shared" ref="J12:J24" si="2">ROUND(5-4*I12/30,1)</f>
        <v>1.5</v>
      </c>
      <c r="K12" s="78">
        <v>37</v>
      </c>
      <c r="L12" s="78">
        <v>33</v>
      </c>
      <c r="M12" s="81">
        <f t="shared" ref="M12:M73" si="3">SUM(K12+L12)</f>
        <v>70</v>
      </c>
      <c r="N12" s="266">
        <f>ROUND(AVERAGE(5-4*(M12)/(M9)),1)</f>
        <v>2.2000000000000002</v>
      </c>
      <c r="O12" s="108">
        <f t="shared" ref="O12:O73" si="4">N12*0.15</f>
        <v>0.33</v>
      </c>
      <c r="P12" s="250"/>
      <c r="Q12" s="250"/>
      <c r="R12" s="86">
        <v>34</v>
      </c>
      <c r="S12" s="86">
        <v>29</v>
      </c>
      <c r="T12" s="93">
        <f t="shared" ref="T12:T73" si="5">SUM(R12+S12)</f>
        <v>63</v>
      </c>
      <c r="U12" s="106">
        <f>ROUND(AVERAGE(5-4*(T12)/(T9)),1)</f>
        <v>2.5</v>
      </c>
      <c r="V12" s="108">
        <f t="shared" ref="V12:V73" si="6">U12*0.15</f>
        <v>0.375</v>
      </c>
      <c r="W12" s="83">
        <v>95</v>
      </c>
      <c r="X12" s="95">
        <v>85</v>
      </c>
      <c r="Y12" s="96">
        <f t="shared" ref="Y12:Y73" si="7">SUM(W12+X12)</f>
        <v>180</v>
      </c>
      <c r="Z12" s="106">
        <f>ROUND(AVERAGE(5-4*(Y12)/(Y9)),1)</f>
        <v>1.4</v>
      </c>
      <c r="AA12" s="108">
        <f t="shared" ref="AA12:AA73" si="8">Z12*0.15</f>
        <v>0.21</v>
      </c>
      <c r="AB12" s="98">
        <v>27</v>
      </c>
      <c r="AC12" s="106">
        <f t="shared" ref="AC12:AC73" si="9">5-(4*AB12/27)</f>
        <v>1</v>
      </c>
      <c r="AD12" s="108">
        <f t="shared" ref="AD12:AD73" si="10">AC12*0.1</f>
        <v>0.1</v>
      </c>
      <c r="AE12" s="83">
        <v>25</v>
      </c>
      <c r="AF12" s="107">
        <f t="shared" ref="AF12:AF73" si="11">ROUND(AVERAGE(5-4*(AE12)/(70)),1)</f>
        <v>3.6</v>
      </c>
      <c r="AG12" s="108">
        <f t="shared" ref="AG12:AG73" si="12">AF12*0.3</f>
        <v>1.08</v>
      </c>
      <c r="AH12" s="96">
        <v>31</v>
      </c>
      <c r="AI12" s="93">
        <v>30</v>
      </c>
      <c r="AJ12" s="96">
        <f t="shared" ref="AJ12:AJ73" si="13">SUM(AH12+AI12)</f>
        <v>61</v>
      </c>
      <c r="AK12" s="106">
        <f>ROUND(AVERAGE(5-4*(AJ12)/(AJ9)),1)</f>
        <v>2.6</v>
      </c>
      <c r="AL12" s="108">
        <f t="shared" ref="AL12:AL73" si="14">AK12*0.15</f>
        <v>0.39</v>
      </c>
      <c r="AM12" s="93">
        <v>34</v>
      </c>
      <c r="AN12" s="93">
        <v>42</v>
      </c>
      <c r="AO12" s="96">
        <f t="shared" ref="AO12:AO73" si="15">SUM(AN12+AM12)</f>
        <v>76</v>
      </c>
      <c r="AP12" s="106">
        <f>ROUND(AVERAGE(5-4*(AO12)/(AO9)),1)</f>
        <v>2</v>
      </c>
      <c r="AQ12" s="158">
        <f t="shared" ref="AQ12:AQ73" si="16">AP12*0.15</f>
        <v>0.3</v>
      </c>
      <c r="AR12" s="93">
        <v>30</v>
      </c>
      <c r="AS12" s="93">
        <v>35</v>
      </c>
      <c r="AT12" s="96">
        <f t="shared" ref="AT12:AT73" si="17">SUM(AR12+AS12)</f>
        <v>65</v>
      </c>
      <c r="AU12" s="148">
        <f>ROUND(AVERAGE(5-4*(AT12)/(AT9)),1)</f>
        <v>2.4</v>
      </c>
      <c r="AV12" s="149">
        <f t="shared" ref="AV12:AV73" si="18">AU12*0.15</f>
        <v>0.36</v>
      </c>
      <c r="AW12" s="93">
        <v>90</v>
      </c>
      <c r="AX12" s="93">
        <v>95</v>
      </c>
      <c r="AY12" s="93">
        <v>85</v>
      </c>
      <c r="AZ12" s="93">
        <f t="shared" ref="AZ12:AZ73" si="19">SUM(AX12+AW12+AY12)</f>
        <v>270</v>
      </c>
      <c r="BA12" s="148">
        <f>ROUND(AVERAGE(5-4*(AZ12)/(AZ9)),1)</f>
        <v>1.4</v>
      </c>
      <c r="BB12" s="149">
        <f t="shared" ref="BB12:BB73" si="20">BA12*0.15</f>
        <v>0.21</v>
      </c>
      <c r="BC12" s="216">
        <v>27</v>
      </c>
      <c r="BD12" s="213">
        <f>5-(4*BC12/BC9)</f>
        <v>1</v>
      </c>
      <c r="BE12" s="149">
        <f t="shared" ref="BE12:BE73" si="21">BD12*0.1</f>
        <v>0.1</v>
      </c>
      <c r="BF12" s="81">
        <v>43</v>
      </c>
      <c r="BG12" s="157">
        <f>ROUND(AVERAGE(5-4*(BF12)/(BF9)),1)</f>
        <v>2.5</v>
      </c>
      <c r="BH12" s="151">
        <f t="shared" ref="BH12:BH73" si="22">BG12*0.3</f>
        <v>0.75</v>
      </c>
      <c r="BI12" s="165">
        <f t="shared" ref="BI12:BI73" si="23">H12+O12+V12+AA12+AD12+AG12</f>
        <v>2.4850000000000003</v>
      </c>
      <c r="BJ12" s="165">
        <f t="shared" ref="BJ12:BJ50" si="24">AL12+AQ12+AV12+BB12+BE12+BH12</f>
        <v>2.11</v>
      </c>
      <c r="BK12" s="165">
        <f t="shared" ref="BK12:BK73" si="25">(BI12*1/2)+(BJ12*1/2)</f>
        <v>2.2975000000000003</v>
      </c>
      <c r="BL12" s="81" t="s">
        <v>91</v>
      </c>
    </row>
    <row r="13" spans="1:64" ht="14.25" customHeight="1" x14ac:dyDescent="0.3">
      <c r="A13" s="63">
        <v>3</v>
      </c>
      <c r="B13" s="273" t="s">
        <v>105</v>
      </c>
      <c r="C13" s="237" t="s">
        <v>106</v>
      </c>
      <c r="D13" s="75">
        <v>34</v>
      </c>
      <c r="E13" s="75">
        <v>25</v>
      </c>
      <c r="F13" s="93">
        <f t="shared" si="0"/>
        <v>59</v>
      </c>
      <c r="G13" s="266">
        <f>ROUND(AVERAGE(5-4*(F13)/(F9)),1)</f>
        <v>2.6</v>
      </c>
      <c r="H13" s="245">
        <f t="shared" si="1"/>
        <v>0.39</v>
      </c>
      <c r="I13" s="246">
        <v>25</v>
      </c>
      <c r="J13" s="247">
        <f t="shared" si="2"/>
        <v>1.7</v>
      </c>
      <c r="K13" s="78">
        <v>28</v>
      </c>
      <c r="L13" s="78">
        <v>30</v>
      </c>
      <c r="M13" s="81">
        <f t="shared" si="3"/>
        <v>58</v>
      </c>
      <c r="N13" s="266">
        <f>ROUND(AVERAGE(5-4*(M13)/(M9)),1)</f>
        <v>2.7</v>
      </c>
      <c r="O13" s="108">
        <f t="shared" si="4"/>
        <v>0.40500000000000003</v>
      </c>
      <c r="P13" s="248" t="e">
        <f>ROUND(5-4*#REF!/10,1)</f>
        <v>#REF!</v>
      </c>
      <c r="Q13" s="249"/>
      <c r="R13" s="86">
        <v>30</v>
      </c>
      <c r="S13" s="86">
        <v>29</v>
      </c>
      <c r="T13" s="93">
        <f t="shared" si="5"/>
        <v>59</v>
      </c>
      <c r="U13" s="106">
        <f>ROUND(AVERAGE(5-4*(T13)/(T9)),1)</f>
        <v>2.6</v>
      </c>
      <c r="V13" s="108">
        <f t="shared" si="6"/>
        <v>0.39</v>
      </c>
      <c r="W13" s="86">
        <v>85</v>
      </c>
      <c r="X13" s="95">
        <v>80</v>
      </c>
      <c r="Y13" s="96">
        <f t="shared" si="7"/>
        <v>165</v>
      </c>
      <c r="Z13" s="106">
        <f>ROUND(AVERAGE(5-4*(Y13)/(Y9)),1)</f>
        <v>1.7</v>
      </c>
      <c r="AA13" s="108">
        <f t="shared" si="8"/>
        <v>0.255</v>
      </c>
      <c r="AB13" s="98">
        <v>22.5</v>
      </c>
      <c r="AC13" s="106">
        <f t="shared" si="9"/>
        <v>1.6666666666666665</v>
      </c>
      <c r="AD13" s="108">
        <f t="shared" si="10"/>
        <v>0.16666666666666666</v>
      </c>
      <c r="AE13" s="75">
        <v>15</v>
      </c>
      <c r="AF13" s="107">
        <f t="shared" si="11"/>
        <v>4.0999999999999996</v>
      </c>
      <c r="AG13" s="108">
        <f t="shared" si="12"/>
        <v>1.2299999999999998</v>
      </c>
      <c r="AH13" s="96">
        <v>25</v>
      </c>
      <c r="AI13" s="93">
        <v>29</v>
      </c>
      <c r="AJ13" s="96">
        <f t="shared" si="13"/>
        <v>54</v>
      </c>
      <c r="AK13" s="106">
        <f>ROUND(AVERAGE(5-4*(AJ13)/(AJ9)),1)</f>
        <v>2.8</v>
      </c>
      <c r="AL13" s="108">
        <f t="shared" si="14"/>
        <v>0.42</v>
      </c>
      <c r="AM13" s="93">
        <v>34</v>
      </c>
      <c r="AN13" s="93">
        <v>35</v>
      </c>
      <c r="AO13" s="96">
        <f t="shared" si="15"/>
        <v>69</v>
      </c>
      <c r="AP13" s="106">
        <f>ROUND(AVERAGE(5-4*(AO13)/(AO9)),1)</f>
        <v>2.2000000000000002</v>
      </c>
      <c r="AQ13" s="158">
        <f t="shared" si="16"/>
        <v>0.33</v>
      </c>
      <c r="AR13" s="93">
        <v>41</v>
      </c>
      <c r="AS13" s="93">
        <v>33</v>
      </c>
      <c r="AT13" s="96">
        <f t="shared" si="17"/>
        <v>74</v>
      </c>
      <c r="AU13" s="148">
        <f>ROUND(AVERAGE(5-4*(AT13)/(AT9)),1)</f>
        <v>2</v>
      </c>
      <c r="AV13" s="149">
        <f t="shared" si="18"/>
        <v>0.3</v>
      </c>
      <c r="AW13" s="93">
        <v>80</v>
      </c>
      <c r="AX13" s="93">
        <v>80</v>
      </c>
      <c r="AY13" s="93">
        <v>87</v>
      </c>
      <c r="AZ13" s="93">
        <f t="shared" si="19"/>
        <v>247</v>
      </c>
      <c r="BA13" s="148">
        <f>ROUND(AVERAGE(5-4*(AZ13)/(AZ9)),1)</f>
        <v>1.7</v>
      </c>
      <c r="BB13" s="149">
        <f t="shared" si="20"/>
        <v>0.255</v>
      </c>
      <c r="BC13" s="216">
        <v>27</v>
      </c>
      <c r="BD13" s="148">
        <f>5-(4*BC13/BC9)</f>
        <v>1</v>
      </c>
      <c r="BE13" s="149">
        <f t="shared" si="21"/>
        <v>0.1</v>
      </c>
      <c r="BF13" s="81">
        <v>35</v>
      </c>
      <c r="BG13" s="157">
        <f>ROUND(AVERAGE(5-4*(BF13)/(BF9)),1)</f>
        <v>3</v>
      </c>
      <c r="BH13" s="151">
        <f t="shared" si="22"/>
        <v>0.89999999999999991</v>
      </c>
      <c r="BI13" s="165">
        <f t="shared" si="23"/>
        <v>2.8366666666666664</v>
      </c>
      <c r="BJ13" s="165">
        <f t="shared" si="24"/>
        <v>2.3050000000000002</v>
      </c>
      <c r="BK13" s="165">
        <v>2.5</v>
      </c>
      <c r="BL13" s="81" t="s">
        <v>91</v>
      </c>
    </row>
    <row r="14" spans="1:64" ht="15" customHeight="1" x14ac:dyDescent="0.3">
      <c r="A14" s="63">
        <v>4</v>
      </c>
      <c r="B14" s="273" t="s">
        <v>107</v>
      </c>
      <c r="C14" s="237" t="s">
        <v>108</v>
      </c>
      <c r="D14" s="86">
        <v>29</v>
      </c>
      <c r="E14" s="83">
        <v>25</v>
      </c>
      <c r="F14" s="93">
        <f t="shared" si="0"/>
        <v>54</v>
      </c>
      <c r="G14" s="266">
        <f>ROUND(AVERAGE(5-4*(F14)/(F9)),1)</f>
        <v>2.8</v>
      </c>
      <c r="H14" s="245">
        <f t="shared" si="1"/>
        <v>0.42</v>
      </c>
      <c r="I14" s="246">
        <v>26</v>
      </c>
      <c r="J14" s="247">
        <f t="shared" si="2"/>
        <v>1.5</v>
      </c>
      <c r="K14" s="78">
        <v>36</v>
      </c>
      <c r="L14" s="78">
        <v>30</v>
      </c>
      <c r="M14" s="81">
        <f t="shared" si="3"/>
        <v>66</v>
      </c>
      <c r="N14" s="266">
        <f>ROUND(AVERAGE(5-4*(M14)/(M9)),1)</f>
        <v>2.4</v>
      </c>
      <c r="O14" s="108">
        <f t="shared" si="4"/>
        <v>0.36</v>
      </c>
      <c r="P14" s="248" t="e">
        <f>ROUND(5-4*#REF!/10,1)</f>
        <v>#REF!</v>
      </c>
      <c r="Q14" s="249"/>
      <c r="R14" s="86">
        <v>30</v>
      </c>
      <c r="S14" s="86">
        <v>28</v>
      </c>
      <c r="T14" s="93">
        <f t="shared" si="5"/>
        <v>58</v>
      </c>
      <c r="U14" s="106">
        <f>ROUND(AVERAGE(5-4*(T14)/(T9)),1)</f>
        <v>2.7</v>
      </c>
      <c r="V14" s="108">
        <f t="shared" si="6"/>
        <v>0.40500000000000003</v>
      </c>
      <c r="W14" s="83">
        <v>82</v>
      </c>
      <c r="X14" s="95">
        <v>80</v>
      </c>
      <c r="Y14" s="96">
        <f t="shared" si="7"/>
        <v>162</v>
      </c>
      <c r="Z14" s="106">
        <f>ROUND(AVERAGE(5-4*(Y14)/(Y9)),1)</f>
        <v>1.8</v>
      </c>
      <c r="AA14" s="108">
        <f t="shared" si="8"/>
        <v>0.27</v>
      </c>
      <c r="AB14" s="98">
        <v>27</v>
      </c>
      <c r="AC14" s="106">
        <f t="shared" si="9"/>
        <v>1</v>
      </c>
      <c r="AD14" s="108">
        <f t="shared" si="10"/>
        <v>0.1</v>
      </c>
      <c r="AE14" s="83">
        <v>34</v>
      </c>
      <c r="AF14" s="107">
        <f t="shared" si="11"/>
        <v>3.1</v>
      </c>
      <c r="AG14" s="108">
        <f t="shared" si="12"/>
        <v>0.92999999999999994</v>
      </c>
      <c r="AH14" s="96">
        <v>29</v>
      </c>
      <c r="AI14" s="93">
        <v>11</v>
      </c>
      <c r="AJ14" s="96">
        <f t="shared" si="13"/>
        <v>40</v>
      </c>
      <c r="AK14" s="106">
        <f>ROUND(AVERAGE(5-4*(AJ14)/(AJ9)),1)</f>
        <v>3.4</v>
      </c>
      <c r="AL14" s="108">
        <f t="shared" si="14"/>
        <v>0.51</v>
      </c>
      <c r="AM14" s="93">
        <v>30</v>
      </c>
      <c r="AN14" s="93">
        <v>35</v>
      </c>
      <c r="AO14" s="96">
        <f t="shared" si="15"/>
        <v>65</v>
      </c>
      <c r="AP14" s="106">
        <f>ROUND(AVERAGE(5-4*(AO14)/(AO9)),1)</f>
        <v>2.4</v>
      </c>
      <c r="AQ14" s="158">
        <f t="shared" si="16"/>
        <v>0.36</v>
      </c>
      <c r="AR14" s="93">
        <v>35</v>
      </c>
      <c r="AS14" s="93">
        <v>33</v>
      </c>
      <c r="AT14" s="96">
        <f t="shared" si="17"/>
        <v>68</v>
      </c>
      <c r="AU14" s="148">
        <f>ROUND(AVERAGE(5-4*(AT14)/(AT9)),1)</f>
        <v>2.2999999999999998</v>
      </c>
      <c r="AV14" s="149">
        <f t="shared" si="18"/>
        <v>0.34499999999999997</v>
      </c>
      <c r="AW14" s="93">
        <v>82</v>
      </c>
      <c r="AX14" s="93">
        <v>80</v>
      </c>
      <c r="AY14" s="93">
        <v>87</v>
      </c>
      <c r="AZ14" s="93">
        <f t="shared" si="19"/>
        <v>249</v>
      </c>
      <c r="BA14" s="148">
        <f>ROUND(AVERAGE(5-4*(AZ14)/(AZ9)),1)</f>
        <v>1.7</v>
      </c>
      <c r="BB14" s="149">
        <f t="shared" si="20"/>
        <v>0.255</v>
      </c>
      <c r="BC14" s="216">
        <v>27</v>
      </c>
      <c r="BD14" s="148">
        <f>5-(4*BC14/BC9)</f>
        <v>1</v>
      </c>
      <c r="BE14" s="149">
        <f t="shared" si="21"/>
        <v>0.1</v>
      </c>
      <c r="BF14" s="81">
        <v>31</v>
      </c>
      <c r="BG14" s="156">
        <f>ROUND(AVERAGE(5-4*(BF14)/(BF9)),1)</f>
        <v>3.2</v>
      </c>
      <c r="BH14" s="151">
        <f t="shared" si="22"/>
        <v>0.96</v>
      </c>
      <c r="BI14" s="165">
        <f t="shared" si="23"/>
        <v>2.4850000000000003</v>
      </c>
      <c r="BJ14" s="165">
        <f t="shared" si="24"/>
        <v>2.5299999999999998</v>
      </c>
      <c r="BK14" s="165">
        <f t="shared" si="25"/>
        <v>2.5075000000000003</v>
      </c>
      <c r="BL14" s="81" t="s">
        <v>91</v>
      </c>
    </row>
    <row r="15" spans="1:64" ht="15" customHeight="1" x14ac:dyDescent="0.3">
      <c r="A15" s="63">
        <v>5</v>
      </c>
      <c r="B15" s="273" t="s">
        <v>109</v>
      </c>
      <c r="C15" s="237" t="s">
        <v>110</v>
      </c>
      <c r="D15" s="86">
        <v>34</v>
      </c>
      <c r="E15" s="83">
        <v>38</v>
      </c>
      <c r="F15" s="93">
        <f t="shared" si="0"/>
        <v>72</v>
      </c>
      <c r="G15" s="266">
        <f>ROUND(AVERAGE(5-4*(F15)/(F9)),1)</f>
        <v>2.1</v>
      </c>
      <c r="H15" s="245">
        <f t="shared" si="1"/>
        <v>0.315</v>
      </c>
      <c r="I15" s="246">
        <v>0</v>
      </c>
      <c r="J15" s="247">
        <f t="shared" si="2"/>
        <v>5</v>
      </c>
      <c r="K15" s="78">
        <v>37</v>
      </c>
      <c r="L15" s="78">
        <v>31</v>
      </c>
      <c r="M15" s="81">
        <f t="shared" si="3"/>
        <v>68</v>
      </c>
      <c r="N15" s="266">
        <f>ROUND(AVERAGE(5-4*(M15)/(M9)),1)</f>
        <v>2.2999999999999998</v>
      </c>
      <c r="O15" s="108">
        <f t="shared" si="4"/>
        <v>0.34499999999999997</v>
      </c>
      <c r="P15" s="248" t="e">
        <f>ROUND(5-4*#REF!/10,1)</f>
        <v>#REF!</v>
      </c>
      <c r="Q15" s="249"/>
      <c r="R15" s="86">
        <v>40</v>
      </c>
      <c r="S15" s="86">
        <v>31</v>
      </c>
      <c r="T15" s="93">
        <f t="shared" si="5"/>
        <v>71</v>
      </c>
      <c r="U15" s="106">
        <f>ROUND(AVERAGE(5-4*(T15)/(T9)),1)</f>
        <v>2.2000000000000002</v>
      </c>
      <c r="V15" s="108">
        <f t="shared" si="6"/>
        <v>0.33</v>
      </c>
      <c r="W15" s="83">
        <v>90</v>
      </c>
      <c r="X15" s="83">
        <v>82</v>
      </c>
      <c r="Y15" s="96">
        <f t="shared" si="7"/>
        <v>172</v>
      </c>
      <c r="Z15" s="106">
        <f>ROUND(AVERAGE(5-4*(Y15)/(Y9)),1)</f>
        <v>1.6</v>
      </c>
      <c r="AA15" s="108">
        <f t="shared" si="8"/>
        <v>0.24</v>
      </c>
      <c r="AB15" s="98">
        <v>27</v>
      </c>
      <c r="AC15" s="106">
        <f t="shared" si="9"/>
        <v>1</v>
      </c>
      <c r="AD15" s="108">
        <f t="shared" si="10"/>
        <v>0.1</v>
      </c>
      <c r="AE15" s="83">
        <v>20</v>
      </c>
      <c r="AF15" s="107">
        <f t="shared" si="11"/>
        <v>3.9</v>
      </c>
      <c r="AG15" s="108">
        <f t="shared" si="12"/>
        <v>1.17</v>
      </c>
      <c r="AH15" s="96">
        <v>37</v>
      </c>
      <c r="AI15" s="93">
        <v>29</v>
      </c>
      <c r="AJ15" s="96">
        <f t="shared" si="13"/>
        <v>66</v>
      </c>
      <c r="AK15" s="106">
        <f>ROUND(AVERAGE(5-4*(AJ15)/(AJ9)),1)</f>
        <v>2.4</v>
      </c>
      <c r="AL15" s="108">
        <f t="shared" si="14"/>
        <v>0.36</v>
      </c>
      <c r="AM15" s="93">
        <v>30</v>
      </c>
      <c r="AN15" s="93">
        <v>33</v>
      </c>
      <c r="AO15" s="96">
        <f t="shared" si="15"/>
        <v>63</v>
      </c>
      <c r="AP15" s="106">
        <f>ROUND(AVERAGE(5-4*(AO15)/(AO9)),1)</f>
        <v>2.5</v>
      </c>
      <c r="AQ15" s="158">
        <f t="shared" si="16"/>
        <v>0.375</v>
      </c>
      <c r="AR15" s="93">
        <v>31</v>
      </c>
      <c r="AS15" s="93">
        <v>34</v>
      </c>
      <c r="AT15" s="96">
        <f t="shared" si="17"/>
        <v>65</v>
      </c>
      <c r="AU15" s="148">
        <f>ROUND(AVERAGE(5-4*(AT15)/(AT9)),1)</f>
        <v>2.4</v>
      </c>
      <c r="AV15" s="149">
        <f t="shared" si="18"/>
        <v>0.36</v>
      </c>
      <c r="AW15" s="93">
        <v>100</v>
      </c>
      <c r="AX15" s="93">
        <v>95</v>
      </c>
      <c r="AY15" s="93">
        <v>87</v>
      </c>
      <c r="AZ15" s="93">
        <f t="shared" si="19"/>
        <v>282</v>
      </c>
      <c r="BA15" s="148">
        <f>ROUND(AVERAGE(5-4*(AZ15)/(AZ9)),1)</f>
        <v>1.2</v>
      </c>
      <c r="BB15" s="149">
        <f t="shared" si="20"/>
        <v>0.18</v>
      </c>
      <c r="BC15" s="216">
        <v>27</v>
      </c>
      <c r="BD15" s="148">
        <f>5-(4*BC15/BC9)</f>
        <v>1</v>
      </c>
      <c r="BE15" s="149">
        <f t="shared" si="21"/>
        <v>0.1</v>
      </c>
      <c r="BF15" s="81">
        <v>36</v>
      </c>
      <c r="BG15" s="157">
        <f>ROUND(AVERAGE(5-4*(BF15)/(BF9)),1)</f>
        <v>2.9</v>
      </c>
      <c r="BH15" s="151">
        <f t="shared" si="22"/>
        <v>0.87</v>
      </c>
      <c r="BI15" s="165">
        <f t="shared" si="23"/>
        <v>2.5</v>
      </c>
      <c r="BJ15" s="165">
        <f t="shared" si="24"/>
        <v>2.2450000000000001</v>
      </c>
      <c r="BK15" s="165">
        <v>2.2999999999999998</v>
      </c>
      <c r="BL15" s="81" t="s">
        <v>91</v>
      </c>
    </row>
    <row r="16" spans="1:64" ht="14.25" customHeight="1" x14ac:dyDescent="0.3">
      <c r="A16" s="63">
        <v>6</v>
      </c>
      <c r="B16" s="273" t="s">
        <v>111</v>
      </c>
      <c r="C16" s="237" t="s">
        <v>112</v>
      </c>
      <c r="D16" s="86">
        <v>35</v>
      </c>
      <c r="E16" s="83">
        <v>38</v>
      </c>
      <c r="F16" s="93">
        <f t="shared" si="0"/>
        <v>73</v>
      </c>
      <c r="G16" s="266">
        <f>ROUND(AVERAGE(5-4*(F16)/(F9)),1)</f>
        <v>2.1</v>
      </c>
      <c r="H16" s="245">
        <f t="shared" si="1"/>
        <v>0.315</v>
      </c>
      <c r="I16" s="246">
        <v>26</v>
      </c>
      <c r="J16" s="247">
        <f t="shared" si="2"/>
        <v>1.5</v>
      </c>
      <c r="K16" s="78">
        <v>40</v>
      </c>
      <c r="L16" s="78">
        <v>35</v>
      </c>
      <c r="M16" s="81">
        <f t="shared" si="3"/>
        <v>75</v>
      </c>
      <c r="N16" s="266">
        <f>ROUND(AVERAGE(5-4*(M16)/(M9)),1)</f>
        <v>2</v>
      </c>
      <c r="O16" s="108">
        <f t="shared" si="4"/>
        <v>0.3</v>
      </c>
      <c r="P16" s="248" t="e">
        <f>ROUND(5-4*#REF!/10,1)</f>
        <v>#REF!</v>
      </c>
      <c r="Q16" s="249"/>
      <c r="R16" s="86">
        <v>36</v>
      </c>
      <c r="S16" s="86">
        <v>30</v>
      </c>
      <c r="T16" s="93">
        <f t="shared" si="5"/>
        <v>66</v>
      </c>
      <c r="U16" s="106">
        <f>ROUND(AVERAGE(5-4*(T16)/(T9)),1)</f>
        <v>2.4</v>
      </c>
      <c r="V16" s="108">
        <f t="shared" si="6"/>
        <v>0.36</v>
      </c>
      <c r="W16" s="83">
        <v>90</v>
      </c>
      <c r="X16" s="95">
        <v>82</v>
      </c>
      <c r="Y16" s="96">
        <f t="shared" si="7"/>
        <v>172</v>
      </c>
      <c r="Z16" s="106">
        <f>ROUND(AVERAGE(5-4*(Y16)/(Y9)),1)</f>
        <v>1.6</v>
      </c>
      <c r="AA16" s="108">
        <f t="shared" si="8"/>
        <v>0.24</v>
      </c>
      <c r="AB16" s="98">
        <v>27</v>
      </c>
      <c r="AC16" s="106">
        <f t="shared" si="9"/>
        <v>1</v>
      </c>
      <c r="AD16" s="108">
        <f t="shared" si="10"/>
        <v>0.1</v>
      </c>
      <c r="AE16" s="83">
        <v>29</v>
      </c>
      <c r="AF16" s="107">
        <f t="shared" si="11"/>
        <v>3.3</v>
      </c>
      <c r="AG16" s="108">
        <f t="shared" si="12"/>
        <v>0.98999999999999988</v>
      </c>
      <c r="AH16" s="96">
        <v>30</v>
      </c>
      <c r="AI16" s="93">
        <v>34</v>
      </c>
      <c r="AJ16" s="96">
        <f t="shared" si="13"/>
        <v>64</v>
      </c>
      <c r="AK16" s="106">
        <f>ROUND(AVERAGE(5-4*(AJ16)/(AJ9)),1)</f>
        <v>2.4</v>
      </c>
      <c r="AL16" s="108">
        <f t="shared" si="14"/>
        <v>0.36</v>
      </c>
      <c r="AM16" s="93">
        <v>31</v>
      </c>
      <c r="AN16" s="93">
        <v>30</v>
      </c>
      <c r="AO16" s="96">
        <f t="shared" si="15"/>
        <v>61</v>
      </c>
      <c r="AP16" s="106">
        <f>ROUND(AVERAGE(5-4*(AO16)/(AO9)),1)</f>
        <v>2.6</v>
      </c>
      <c r="AQ16" s="158">
        <f t="shared" si="16"/>
        <v>0.39</v>
      </c>
      <c r="AR16" s="93">
        <v>30</v>
      </c>
      <c r="AS16" s="93">
        <v>32</v>
      </c>
      <c r="AT16" s="96">
        <f t="shared" si="17"/>
        <v>62</v>
      </c>
      <c r="AU16" s="148">
        <f>ROUND(AVERAGE(5-4*(AT16)/(AT9)),1)</f>
        <v>2.5</v>
      </c>
      <c r="AV16" s="149">
        <f t="shared" si="18"/>
        <v>0.375</v>
      </c>
      <c r="AW16" s="93">
        <v>85</v>
      </c>
      <c r="AX16" s="93">
        <v>88</v>
      </c>
      <c r="AY16" s="93">
        <v>100</v>
      </c>
      <c r="AZ16" s="93">
        <f t="shared" si="19"/>
        <v>273</v>
      </c>
      <c r="BA16" s="148">
        <f>ROUND(AVERAGE(5-4*(AZ16)/(AZ9)),1)</f>
        <v>1.4</v>
      </c>
      <c r="BB16" s="149">
        <f t="shared" si="20"/>
        <v>0.21</v>
      </c>
      <c r="BC16" s="216">
        <v>27</v>
      </c>
      <c r="BD16" s="148">
        <f>5-(4*BC16/BC9)</f>
        <v>1</v>
      </c>
      <c r="BE16" s="149">
        <f t="shared" si="21"/>
        <v>0.1</v>
      </c>
      <c r="BF16" s="81">
        <v>48</v>
      </c>
      <c r="BG16" s="156">
        <f>ROUND(AVERAGE(5-4*(BF16)/(BF9)),1)</f>
        <v>2.2999999999999998</v>
      </c>
      <c r="BH16" s="151">
        <f t="shared" si="22"/>
        <v>0.69</v>
      </c>
      <c r="BI16" s="165">
        <f>H16+O16+V16+AA16+AD16+AG16</f>
        <v>2.3049999999999997</v>
      </c>
      <c r="BJ16" s="165">
        <f t="shared" si="24"/>
        <v>2.125</v>
      </c>
      <c r="BK16" s="165">
        <v>2.2000000000000002</v>
      </c>
      <c r="BL16" s="81" t="s">
        <v>91</v>
      </c>
    </row>
    <row r="17" spans="1:64" s="46" customFormat="1" ht="14.25" customHeight="1" x14ac:dyDescent="0.3">
      <c r="A17" s="63">
        <v>7</v>
      </c>
      <c r="B17" s="273" t="s">
        <v>113</v>
      </c>
      <c r="C17" s="237" t="s">
        <v>114</v>
      </c>
      <c r="D17" s="238">
        <v>37</v>
      </c>
      <c r="E17" s="80">
        <v>32</v>
      </c>
      <c r="F17" s="93">
        <f t="shared" si="0"/>
        <v>69</v>
      </c>
      <c r="G17" s="266">
        <f>ROUND(AVERAGE(5-4*(F17)/(F9)),1)</f>
        <v>2.2000000000000002</v>
      </c>
      <c r="H17" s="245">
        <f t="shared" si="1"/>
        <v>0.33</v>
      </c>
      <c r="I17" s="246">
        <v>0</v>
      </c>
      <c r="J17" s="247">
        <f t="shared" si="2"/>
        <v>5</v>
      </c>
      <c r="K17" s="78">
        <v>39</v>
      </c>
      <c r="L17" s="78">
        <v>28</v>
      </c>
      <c r="M17" s="81">
        <f t="shared" si="3"/>
        <v>67</v>
      </c>
      <c r="N17" s="266">
        <f>ROUND(AVERAGE(5-4*(M17)/(M9)),1)</f>
        <v>2.2999999999999998</v>
      </c>
      <c r="O17" s="108">
        <f t="shared" si="4"/>
        <v>0.34499999999999997</v>
      </c>
      <c r="P17" s="248" t="e">
        <f>ROUND(5-4*#REF!/10,1)</f>
        <v>#REF!</v>
      </c>
      <c r="Q17" s="249"/>
      <c r="R17" s="86">
        <v>35</v>
      </c>
      <c r="S17" s="86">
        <v>28</v>
      </c>
      <c r="T17" s="93">
        <f t="shared" si="5"/>
        <v>63</v>
      </c>
      <c r="U17" s="106">
        <f>ROUND(AVERAGE(5-4*(T17)/(T9)),1)</f>
        <v>2.5</v>
      </c>
      <c r="V17" s="108">
        <f t="shared" si="6"/>
        <v>0.375</v>
      </c>
      <c r="W17" s="83">
        <v>85</v>
      </c>
      <c r="X17" s="95">
        <v>84</v>
      </c>
      <c r="Y17" s="96">
        <f t="shared" si="7"/>
        <v>169</v>
      </c>
      <c r="Z17" s="106">
        <f>ROUND(AVERAGE(5-4*(Y17)/(Y9)),1)</f>
        <v>1.6</v>
      </c>
      <c r="AA17" s="108">
        <f t="shared" si="8"/>
        <v>0.24</v>
      </c>
      <c r="AB17" s="98">
        <v>27</v>
      </c>
      <c r="AC17" s="106">
        <f t="shared" si="9"/>
        <v>1</v>
      </c>
      <c r="AD17" s="108">
        <f t="shared" si="10"/>
        <v>0.1</v>
      </c>
      <c r="AE17" s="83">
        <v>21</v>
      </c>
      <c r="AF17" s="107">
        <f t="shared" si="11"/>
        <v>3.8</v>
      </c>
      <c r="AG17" s="108">
        <f t="shared" si="12"/>
        <v>1.1399999999999999</v>
      </c>
      <c r="AH17" s="96">
        <v>31</v>
      </c>
      <c r="AI17" s="154">
        <v>28</v>
      </c>
      <c r="AJ17" s="96">
        <f t="shared" si="13"/>
        <v>59</v>
      </c>
      <c r="AK17" s="106">
        <f>ROUND(AVERAGE(5-4*(AJ17)/(AJ9)),1)</f>
        <v>2.6</v>
      </c>
      <c r="AL17" s="108">
        <f t="shared" si="14"/>
        <v>0.39</v>
      </c>
      <c r="AM17" s="154">
        <v>30</v>
      </c>
      <c r="AN17" s="154">
        <v>32</v>
      </c>
      <c r="AO17" s="96">
        <f t="shared" si="15"/>
        <v>62</v>
      </c>
      <c r="AP17" s="106">
        <f>ROUND(AVERAGE(5-4*(AO17)/(AO9)),1)</f>
        <v>2.5</v>
      </c>
      <c r="AQ17" s="158">
        <f t="shared" si="16"/>
        <v>0.375</v>
      </c>
      <c r="AR17" s="154">
        <v>35</v>
      </c>
      <c r="AS17" s="154">
        <v>35</v>
      </c>
      <c r="AT17" s="96">
        <f t="shared" si="17"/>
        <v>70</v>
      </c>
      <c r="AU17" s="148">
        <f>ROUND(AVERAGE(5-4*(AT17)/(AT9)),1)</f>
        <v>2.2000000000000002</v>
      </c>
      <c r="AV17" s="149">
        <f t="shared" si="18"/>
        <v>0.33</v>
      </c>
      <c r="AW17" s="154">
        <v>100</v>
      </c>
      <c r="AX17" s="154">
        <v>100</v>
      </c>
      <c r="AY17" s="154">
        <v>87</v>
      </c>
      <c r="AZ17" s="93">
        <f t="shared" si="19"/>
        <v>287</v>
      </c>
      <c r="BA17" s="148">
        <f>ROUND(AVERAGE(5-4*(AZ17)/(AZ9)),1)</f>
        <v>1.2</v>
      </c>
      <c r="BB17" s="149">
        <f t="shared" si="20"/>
        <v>0.18</v>
      </c>
      <c r="BC17" s="216">
        <v>27</v>
      </c>
      <c r="BD17" s="148">
        <f>5-(4*BC17/BC9)</f>
        <v>1</v>
      </c>
      <c r="BE17" s="149">
        <f t="shared" si="21"/>
        <v>0.1</v>
      </c>
      <c r="BF17" s="142">
        <v>43</v>
      </c>
      <c r="BG17" s="156">
        <f>ROUND(AVERAGE(5-4*(BF17)/(BF9)),1)</f>
        <v>2.5</v>
      </c>
      <c r="BH17" s="151">
        <f t="shared" si="22"/>
        <v>0.75</v>
      </c>
      <c r="BI17" s="165">
        <f t="shared" si="23"/>
        <v>2.5300000000000002</v>
      </c>
      <c r="BJ17" s="165">
        <f t="shared" si="24"/>
        <v>2.125</v>
      </c>
      <c r="BK17" s="165">
        <f t="shared" si="25"/>
        <v>2.3275000000000001</v>
      </c>
      <c r="BL17" s="81" t="s">
        <v>91</v>
      </c>
    </row>
    <row r="18" spans="1:64" ht="15" customHeight="1" x14ac:dyDescent="0.3">
      <c r="A18" s="63">
        <v>8</v>
      </c>
      <c r="B18" s="273" t="s">
        <v>115</v>
      </c>
      <c r="C18" s="237" t="s">
        <v>116</v>
      </c>
      <c r="D18" s="240">
        <v>11</v>
      </c>
      <c r="E18" s="240">
        <v>19</v>
      </c>
      <c r="F18" s="93">
        <f t="shared" si="0"/>
        <v>30</v>
      </c>
      <c r="G18" s="267">
        <f>ROUND(AVERAGE(5-4*(F18)/(F9)),1)</f>
        <v>3.8</v>
      </c>
      <c r="H18" s="251">
        <f t="shared" si="1"/>
        <v>0.56999999999999995</v>
      </c>
      <c r="I18" s="252">
        <v>28</v>
      </c>
      <c r="J18" s="253">
        <f t="shared" si="2"/>
        <v>1.3</v>
      </c>
      <c r="K18" s="205">
        <v>38</v>
      </c>
      <c r="L18" s="205">
        <v>30</v>
      </c>
      <c r="M18" s="81">
        <f t="shared" si="3"/>
        <v>68</v>
      </c>
      <c r="N18" s="267">
        <f>ROUND(AVERAGE(5-4*(M18)/(M9)),1)</f>
        <v>2.2999999999999998</v>
      </c>
      <c r="O18" s="212">
        <f t="shared" si="4"/>
        <v>0.34499999999999997</v>
      </c>
      <c r="P18" s="254" t="e">
        <f>ROUND(5-4*#REF!/10,1)</f>
        <v>#REF!</v>
      </c>
      <c r="Q18" s="255"/>
      <c r="R18" s="241">
        <v>37</v>
      </c>
      <c r="S18" s="241">
        <v>31</v>
      </c>
      <c r="T18" s="93">
        <f t="shared" si="5"/>
        <v>68</v>
      </c>
      <c r="U18" s="209">
        <f>ROUND(AVERAGE(5-4*(T18)/(T9)),1)</f>
        <v>2.2999999999999998</v>
      </c>
      <c r="V18" s="212">
        <f t="shared" si="6"/>
        <v>0.34499999999999997</v>
      </c>
      <c r="W18" s="241">
        <v>75</v>
      </c>
      <c r="X18" s="208">
        <v>84</v>
      </c>
      <c r="Y18" s="203">
        <f t="shared" si="7"/>
        <v>159</v>
      </c>
      <c r="Z18" s="209">
        <f>ROUND(AVERAGE(5-4*(Y18)/(Y9)),1)</f>
        <v>1.8</v>
      </c>
      <c r="AA18" s="212">
        <f t="shared" si="8"/>
        <v>0.27</v>
      </c>
      <c r="AB18" s="218">
        <v>27</v>
      </c>
      <c r="AC18" s="209">
        <f>5-(4*AB18/27)</f>
        <v>1</v>
      </c>
      <c r="AD18" s="212">
        <f t="shared" si="10"/>
        <v>0.1</v>
      </c>
      <c r="AE18" s="241">
        <v>25</v>
      </c>
      <c r="AF18" s="211">
        <f t="shared" si="11"/>
        <v>3.6</v>
      </c>
      <c r="AG18" s="212">
        <f t="shared" si="12"/>
        <v>1.08</v>
      </c>
      <c r="AH18" s="203">
        <v>28</v>
      </c>
      <c r="AI18" s="207">
        <v>12</v>
      </c>
      <c r="AJ18" s="203">
        <f t="shared" si="13"/>
        <v>40</v>
      </c>
      <c r="AK18" s="209">
        <f>ROUND(AVERAGE(5-4*(AJ18)/(AJ9)),1)</f>
        <v>3.4</v>
      </c>
      <c r="AL18" s="212">
        <f t="shared" si="14"/>
        <v>0.51</v>
      </c>
      <c r="AM18" s="207">
        <v>31</v>
      </c>
      <c r="AN18" s="207">
        <v>30</v>
      </c>
      <c r="AO18" s="96">
        <f t="shared" si="15"/>
        <v>61</v>
      </c>
      <c r="AP18" s="209">
        <f>ROUND(AVERAGE(5-4*(AO18)/(AO9)),1)</f>
        <v>2.6</v>
      </c>
      <c r="AQ18" s="215">
        <f t="shared" si="16"/>
        <v>0.39</v>
      </c>
      <c r="AR18" s="207">
        <v>30</v>
      </c>
      <c r="AS18" s="207">
        <v>34</v>
      </c>
      <c r="AT18" s="96">
        <f t="shared" si="17"/>
        <v>64</v>
      </c>
      <c r="AU18" s="213">
        <f>ROUND(AVERAGE(5-4*(AT18)/(AT9)),1)</f>
        <v>2.4</v>
      </c>
      <c r="AV18" s="214">
        <f t="shared" si="18"/>
        <v>0.36</v>
      </c>
      <c r="AW18" s="207">
        <v>80</v>
      </c>
      <c r="AX18" s="207">
        <v>80</v>
      </c>
      <c r="AY18" s="207">
        <v>89</v>
      </c>
      <c r="AZ18" s="93">
        <f t="shared" si="19"/>
        <v>249</v>
      </c>
      <c r="BA18" s="213">
        <f>ROUND(AVERAGE(5-4*(AZ18)/(AZ9)),1)</f>
        <v>1.7</v>
      </c>
      <c r="BB18" s="214">
        <f t="shared" si="20"/>
        <v>0.255</v>
      </c>
      <c r="BC18" s="216">
        <v>27</v>
      </c>
      <c r="BD18" s="213">
        <f>5-(4*BC18/BC9)</f>
        <v>1</v>
      </c>
      <c r="BE18" s="214">
        <f t="shared" si="21"/>
        <v>0.1</v>
      </c>
      <c r="BF18" s="206">
        <v>17</v>
      </c>
      <c r="BG18" s="217">
        <f>ROUND(AVERAGE(5-4*(BF18)/(BF9)),1)</f>
        <v>4</v>
      </c>
      <c r="BH18" s="242">
        <f t="shared" si="22"/>
        <v>1.2</v>
      </c>
      <c r="BI18" s="165">
        <f t="shared" si="23"/>
        <v>2.71</v>
      </c>
      <c r="BJ18" s="165">
        <f t="shared" si="24"/>
        <v>2.8150000000000004</v>
      </c>
      <c r="BK18" s="165">
        <f t="shared" si="25"/>
        <v>2.7625000000000002</v>
      </c>
      <c r="BL18" s="81" t="s">
        <v>91</v>
      </c>
    </row>
    <row r="19" spans="1:64" ht="15" customHeight="1" x14ac:dyDescent="0.3">
      <c r="A19" s="63">
        <v>9</v>
      </c>
      <c r="B19" s="273" t="s">
        <v>117</v>
      </c>
      <c r="C19" s="237" t="s">
        <v>494</v>
      </c>
      <c r="D19" s="75">
        <v>7</v>
      </c>
      <c r="E19" s="75">
        <v>26</v>
      </c>
      <c r="F19" s="93">
        <f t="shared" si="0"/>
        <v>33</v>
      </c>
      <c r="G19" s="266">
        <f>ROUND(AVERAGE(5-4*(F19)/(F9)),1)</f>
        <v>3.7</v>
      </c>
      <c r="H19" s="245">
        <f t="shared" si="1"/>
        <v>0.55500000000000005</v>
      </c>
      <c r="I19" s="246">
        <v>28</v>
      </c>
      <c r="J19" s="247">
        <f t="shared" si="2"/>
        <v>1.3</v>
      </c>
      <c r="K19" s="78">
        <v>39</v>
      </c>
      <c r="L19" s="78">
        <v>30</v>
      </c>
      <c r="M19" s="81">
        <f t="shared" si="3"/>
        <v>69</v>
      </c>
      <c r="N19" s="266">
        <f>ROUND(AVERAGE(5-4*(M19)/(M9)),1)</f>
        <v>2.2000000000000002</v>
      </c>
      <c r="O19" s="108">
        <f t="shared" si="4"/>
        <v>0.33</v>
      </c>
      <c r="P19" s="248" t="e">
        <f>ROUND(5-4*#REF!/10,1)</f>
        <v>#REF!</v>
      </c>
      <c r="Q19" s="249"/>
      <c r="R19" s="81">
        <v>38</v>
      </c>
      <c r="S19" s="81">
        <v>30</v>
      </c>
      <c r="T19" s="93">
        <f t="shared" si="5"/>
        <v>68</v>
      </c>
      <c r="U19" s="106">
        <f>ROUND(AVERAGE(5-4*(T19)/(T9)),1)</f>
        <v>2.2999999999999998</v>
      </c>
      <c r="V19" s="108">
        <f t="shared" si="6"/>
        <v>0.34499999999999997</v>
      </c>
      <c r="W19" s="86">
        <v>85</v>
      </c>
      <c r="X19" s="95">
        <v>84</v>
      </c>
      <c r="Y19" s="96">
        <f t="shared" si="7"/>
        <v>169</v>
      </c>
      <c r="Z19" s="106">
        <f>ROUND(AVERAGE(5-4*(Y19)/(Y9)),1)</f>
        <v>1.6</v>
      </c>
      <c r="AA19" s="108">
        <f t="shared" si="8"/>
        <v>0.24</v>
      </c>
      <c r="AB19" s="98">
        <v>27</v>
      </c>
      <c r="AC19" s="106">
        <f t="shared" si="9"/>
        <v>1</v>
      </c>
      <c r="AD19" s="108">
        <f t="shared" si="10"/>
        <v>0.1</v>
      </c>
      <c r="AE19" s="75">
        <v>20</v>
      </c>
      <c r="AF19" s="107">
        <f t="shared" si="11"/>
        <v>3.9</v>
      </c>
      <c r="AG19" s="108">
        <f t="shared" si="12"/>
        <v>1.17</v>
      </c>
      <c r="AH19" s="96">
        <v>27</v>
      </c>
      <c r="AI19" s="93">
        <v>24</v>
      </c>
      <c r="AJ19" s="96">
        <f t="shared" si="13"/>
        <v>51</v>
      </c>
      <c r="AK19" s="106">
        <f>ROUND(AVERAGE(5-4*(AJ19)/(AJ9)),1)</f>
        <v>3</v>
      </c>
      <c r="AL19" s="108">
        <f t="shared" si="14"/>
        <v>0.44999999999999996</v>
      </c>
      <c r="AM19" s="93">
        <v>30</v>
      </c>
      <c r="AN19" s="93">
        <v>31</v>
      </c>
      <c r="AO19" s="96">
        <f t="shared" si="15"/>
        <v>61</v>
      </c>
      <c r="AP19" s="106">
        <f>ROUND(AVERAGE(5-4*(AO19)/(AO9)),1)</f>
        <v>2.6</v>
      </c>
      <c r="AQ19" s="158">
        <f t="shared" si="16"/>
        <v>0.39</v>
      </c>
      <c r="AR19" s="93">
        <v>30</v>
      </c>
      <c r="AS19" s="93">
        <v>32</v>
      </c>
      <c r="AT19" s="96">
        <f t="shared" si="17"/>
        <v>62</v>
      </c>
      <c r="AU19" s="148">
        <f>ROUND(AVERAGE(5-4*(AT19)/(AT9)),1)</f>
        <v>2.5</v>
      </c>
      <c r="AV19" s="149">
        <f t="shared" si="18"/>
        <v>0.375</v>
      </c>
      <c r="AW19" s="93">
        <v>83</v>
      </c>
      <c r="AX19" s="93">
        <v>85</v>
      </c>
      <c r="AY19" s="93">
        <v>88</v>
      </c>
      <c r="AZ19" s="93">
        <f t="shared" si="19"/>
        <v>256</v>
      </c>
      <c r="BA19" s="148">
        <f>ROUND(AVERAGE(5-4*(AZ19)/(AZ9)),1)</f>
        <v>1.6</v>
      </c>
      <c r="BB19" s="149">
        <f t="shared" si="20"/>
        <v>0.24</v>
      </c>
      <c r="BC19" s="216">
        <v>27</v>
      </c>
      <c r="BD19" s="148">
        <f>5-(4*BC19/BC9)</f>
        <v>1</v>
      </c>
      <c r="BE19" s="149">
        <f t="shared" si="21"/>
        <v>0.1</v>
      </c>
      <c r="BF19" s="81">
        <v>28</v>
      </c>
      <c r="BG19" s="156">
        <f>ROUND(AVERAGE(5-4*(BF19)/(BF9)),1)</f>
        <v>3.4</v>
      </c>
      <c r="BH19" s="151">
        <f t="shared" si="22"/>
        <v>1.02</v>
      </c>
      <c r="BI19" s="165">
        <f t="shared" si="23"/>
        <v>2.74</v>
      </c>
      <c r="BJ19" s="165">
        <f t="shared" si="24"/>
        <v>2.5750000000000002</v>
      </c>
      <c r="BK19" s="165">
        <v>2.6</v>
      </c>
      <c r="BL19" s="81" t="s">
        <v>91</v>
      </c>
    </row>
    <row r="20" spans="1:64" ht="14.25" customHeight="1" x14ac:dyDescent="0.3">
      <c r="A20" s="387">
        <v>10</v>
      </c>
      <c r="B20" s="328" t="s">
        <v>119</v>
      </c>
      <c r="C20" s="329" t="s">
        <v>120</v>
      </c>
      <c r="D20" s="388">
        <v>7</v>
      </c>
      <c r="E20" s="388">
        <v>8</v>
      </c>
      <c r="F20" s="331">
        <f t="shared" si="0"/>
        <v>15</v>
      </c>
      <c r="G20" s="332">
        <f>ROUND(AVERAGE(5-4*(F20)/(F9)),1)</f>
        <v>4.4000000000000004</v>
      </c>
      <c r="H20" s="333">
        <f t="shared" si="1"/>
        <v>0.66</v>
      </c>
      <c r="I20" s="373">
        <v>30</v>
      </c>
      <c r="J20" s="374">
        <f t="shared" si="2"/>
        <v>1</v>
      </c>
      <c r="K20" s="335"/>
      <c r="L20" s="335"/>
      <c r="M20" s="336"/>
      <c r="N20" s="332">
        <f>ROUND(AVERAGE(5-4*(M20)/(M9)),1)</f>
        <v>5</v>
      </c>
      <c r="O20" s="337">
        <f t="shared" si="4"/>
        <v>0.75</v>
      </c>
      <c r="P20" s="375" t="e">
        <f>ROUND(5-4*#REF!/10,1)</f>
        <v>#REF!</v>
      </c>
      <c r="Q20" s="376"/>
      <c r="R20" s="336">
        <v>37</v>
      </c>
      <c r="S20" s="336"/>
      <c r="T20" s="331">
        <f t="shared" si="5"/>
        <v>37</v>
      </c>
      <c r="U20" s="341">
        <f>ROUND(AVERAGE(5-4*(T20)/(T9)),1)</f>
        <v>3.5</v>
      </c>
      <c r="V20" s="337">
        <f t="shared" si="6"/>
        <v>0.52500000000000002</v>
      </c>
      <c r="W20" s="330">
        <v>75</v>
      </c>
      <c r="X20" s="339"/>
      <c r="Y20" s="340">
        <f t="shared" si="7"/>
        <v>75</v>
      </c>
      <c r="Z20" s="341">
        <f>ROUND(AVERAGE(5-4*(Y20)/(Y9)),1)</f>
        <v>3.5</v>
      </c>
      <c r="AA20" s="337">
        <f t="shared" si="8"/>
        <v>0.52500000000000002</v>
      </c>
      <c r="AB20" s="342">
        <v>16.5</v>
      </c>
      <c r="AC20" s="341">
        <f t="shared" si="9"/>
        <v>2.5555555555555554</v>
      </c>
      <c r="AD20" s="337">
        <f t="shared" si="10"/>
        <v>0.25555555555555554</v>
      </c>
      <c r="AE20" s="388"/>
      <c r="AF20" s="343">
        <f t="shared" si="11"/>
        <v>5</v>
      </c>
      <c r="AG20" s="337">
        <f t="shared" si="12"/>
        <v>1.5</v>
      </c>
      <c r="AH20" s="340"/>
      <c r="AI20" s="331"/>
      <c r="AJ20" s="340"/>
      <c r="AK20" s="341">
        <f>ROUND(AVERAGE(5-4*(AJ20)/(AJ9)),1)</f>
        <v>5</v>
      </c>
      <c r="AL20" s="337">
        <f t="shared" si="14"/>
        <v>0.75</v>
      </c>
      <c r="AM20" s="331"/>
      <c r="AN20" s="331"/>
      <c r="AO20" s="340"/>
      <c r="AP20" s="341">
        <f>ROUND(AVERAGE(5-4*(AO20)/(AO9)),1)</f>
        <v>5</v>
      </c>
      <c r="AQ20" s="344">
        <f t="shared" si="16"/>
        <v>0.75</v>
      </c>
      <c r="AR20" s="331"/>
      <c r="AS20" s="331"/>
      <c r="AT20" s="340"/>
      <c r="AU20" s="345">
        <f>ROUND(AVERAGE(5-4*(AT20)/(AT9)),1)</f>
        <v>5</v>
      </c>
      <c r="AV20" s="346">
        <f t="shared" si="18"/>
        <v>0.75</v>
      </c>
      <c r="AW20" s="331"/>
      <c r="AX20" s="331"/>
      <c r="AY20" s="331"/>
      <c r="AZ20" s="331"/>
      <c r="BA20" s="345">
        <f>ROUND(AVERAGE(5-4*(AZ20)/(AZ9)),1)</f>
        <v>5</v>
      </c>
      <c r="BB20" s="346">
        <f t="shared" si="20"/>
        <v>0.75</v>
      </c>
      <c r="BC20" s="348"/>
      <c r="BD20" s="345">
        <f>5-(4*BC20/BC9)</f>
        <v>5</v>
      </c>
      <c r="BE20" s="346">
        <f t="shared" si="21"/>
        <v>0.5</v>
      </c>
      <c r="BF20" s="336"/>
      <c r="BG20" s="349">
        <f>ROUND(AVERAGE(5-4*(BF20)/(BF9)),1)</f>
        <v>5</v>
      </c>
      <c r="BH20" s="347">
        <f t="shared" si="22"/>
        <v>1.5</v>
      </c>
      <c r="BI20" s="348" t="s">
        <v>93</v>
      </c>
      <c r="BJ20" s="348" t="s">
        <v>93</v>
      </c>
      <c r="BK20" s="348" t="s">
        <v>95</v>
      </c>
      <c r="BL20" s="350">
        <v>45950</v>
      </c>
    </row>
    <row r="21" spans="1:64" ht="15" customHeight="1" x14ac:dyDescent="0.3">
      <c r="A21" s="63">
        <v>11</v>
      </c>
      <c r="B21" s="273" t="s">
        <v>121</v>
      </c>
      <c r="C21" s="237" t="s">
        <v>122</v>
      </c>
      <c r="D21" s="75">
        <v>26</v>
      </c>
      <c r="E21" s="86">
        <v>30</v>
      </c>
      <c r="F21" s="93">
        <f t="shared" si="0"/>
        <v>56</v>
      </c>
      <c r="G21" s="266">
        <f>ROUND(AVERAGE(5-4*(F21)/(F9)),1)</f>
        <v>2.8</v>
      </c>
      <c r="H21" s="245">
        <f t="shared" si="1"/>
        <v>0.42</v>
      </c>
      <c r="I21" s="246">
        <v>26</v>
      </c>
      <c r="J21" s="247">
        <f t="shared" si="2"/>
        <v>1.5</v>
      </c>
      <c r="K21" s="78">
        <v>30</v>
      </c>
      <c r="L21" s="78">
        <v>28</v>
      </c>
      <c r="M21" s="81">
        <f t="shared" si="3"/>
        <v>58</v>
      </c>
      <c r="N21" s="266">
        <f>ROUND(AVERAGE(5-4*(M21)/(M9)),1)</f>
        <v>2.7</v>
      </c>
      <c r="O21" s="108">
        <f t="shared" si="4"/>
        <v>0.40500000000000003</v>
      </c>
      <c r="P21" s="248" t="e">
        <f>ROUND(5-4*#REF!/10,1)</f>
        <v>#REF!</v>
      </c>
      <c r="Q21" s="249"/>
      <c r="R21" s="81">
        <v>30</v>
      </c>
      <c r="S21" s="81">
        <v>28</v>
      </c>
      <c r="T21" s="93">
        <f t="shared" si="5"/>
        <v>58</v>
      </c>
      <c r="U21" s="106">
        <f>ROUND(AVERAGE(5-4*(T21)/(T9)),1)</f>
        <v>2.7</v>
      </c>
      <c r="V21" s="108">
        <f>U21*0.15</f>
        <v>0.40500000000000003</v>
      </c>
      <c r="W21" s="83">
        <v>100</v>
      </c>
      <c r="X21" s="95">
        <v>87</v>
      </c>
      <c r="Y21" s="96">
        <f t="shared" si="7"/>
        <v>187</v>
      </c>
      <c r="Z21" s="106">
        <f>ROUND(AVERAGE(5-4*(Y21)/(Y9)),1)</f>
        <v>1.3</v>
      </c>
      <c r="AA21" s="108">
        <f t="shared" si="8"/>
        <v>0.19500000000000001</v>
      </c>
      <c r="AB21" s="98">
        <v>24</v>
      </c>
      <c r="AC21" s="106">
        <f t="shared" si="9"/>
        <v>1.4444444444444446</v>
      </c>
      <c r="AD21" s="108">
        <f t="shared" si="10"/>
        <v>0.14444444444444446</v>
      </c>
      <c r="AE21" s="83">
        <v>22</v>
      </c>
      <c r="AF21" s="107">
        <f t="shared" si="11"/>
        <v>3.7</v>
      </c>
      <c r="AG21" s="108">
        <f>AF21*0.3</f>
        <v>1.1100000000000001</v>
      </c>
      <c r="AH21" s="96">
        <v>27</v>
      </c>
      <c r="AI21" s="93">
        <v>27</v>
      </c>
      <c r="AJ21" s="96">
        <f t="shared" si="13"/>
        <v>54</v>
      </c>
      <c r="AK21" s="106">
        <f>ROUND(AVERAGE(5-4*(AJ21)/(AJ9)),1)</f>
        <v>2.8</v>
      </c>
      <c r="AL21" s="108">
        <f t="shared" si="14"/>
        <v>0.42</v>
      </c>
      <c r="AM21" s="93">
        <v>39</v>
      </c>
      <c r="AN21" s="93">
        <v>38</v>
      </c>
      <c r="AO21" s="96">
        <f t="shared" si="15"/>
        <v>77</v>
      </c>
      <c r="AP21" s="106">
        <f>ROUND(AVERAGE(5-4*(AO21)/(AO9)),1)</f>
        <v>1.9</v>
      </c>
      <c r="AQ21" s="158">
        <f t="shared" si="16"/>
        <v>0.28499999999999998</v>
      </c>
      <c r="AR21" s="93">
        <v>40</v>
      </c>
      <c r="AS21" s="93">
        <v>38</v>
      </c>
      <c r="AT21" s="96">
        <f t="shared" si="17"/>
        <v>78</v>
      </c>
      <c r="AU21" s="148">
        <f>ROUND(AVERAGE(5-4*(AT21)/(AT9)),1)</f>
        <v>1.9</v>
      </c>
      <c r="AV21" s="149">
        <f t="shared" si="18"/>
        <v>0.28499999999999998</v>
      </c>
      <c r="AW21" s="93">
        <v>95</v>
      </c>
      <c r="AX21" s="93">
        <v>90</v>
      </c>
      <c r="AY21" s="93">
        <v>100</v>
      </c>
      <c r="AZ21" s="93">
        <f t="shared" si="19"/>
        <v>285</v>
      </c>
      <c r="BA21" s="148">
        <f>ROUND(AVERAGE(5-4*(AZ21)/(AZ9)),1)</f>
        <v>1.2</v>
      </c>
      <c r="BB21" s="149">
        <f t="shared" si="20"/>
        <v>0.18</v>
      </c>
      <c r="BC21" s="165">
        <v>27</v>
      </c>
      <c r="BD21" s="148">
        <f>5-(4*BC21/BC9)</f>
        <v>1</v>
      </c>
      <c r="BE21" s="149">
        <f t="shared" si="21"/>
        <v>0.1</v>
      </c>
      <c r="BF21" s="81">
        <v>31</v>
      </c>
      <c r="BG21" s="156">
        <f>ROUND(AVERAGE(5-4*(BF21)/(BF9)),1)</f>
        <v>3.2</v>
      </c>
      <c r="BH21" s="151">
        <f t="shared" si="22"/>
        <v>0.96</v>
      </c>
      <c r="BI21" s="165">
        <f t="shared" si="23"/>
        <v>2.6794444444444445</v>
      </c>
      <c r="BJ21" s="165">
        <f t="shared" si="24"/>
        <v>2.23</v>
      </c>
      <c r="BK21" s="165">
        <v>2.4</v>
      </c>
      <c r="BL21" s="81" t="s">
        <v>91</v>
      </c>
    </row>
    <row r="22" spans="1:64" ht="14.25" customHeight="1" x14ac:dyDescent="0.3">
      <c r="A22" s="387">
        <v>12</v>
      </c>
      <c r="B22" s="328" t="s">
        <v>123</v>
      </c>
      <c r="C22" s="329" t="s">
        <v>124</v>
      </c>
      <c r="D22" s="388">
        <v>8</v>
      </c>
      <c r="E22" s="388">
        <v>10</v>
      </c>
      <c r="F22" s="331">
        <f t="shared" si="0"/>
        <v>18</v>
      </c>
      <c r="G22" s="332">
        <f>ROUND(AVERAGE(5-4*(F22)/(F9)),1)</f>
        <v>4.3</v>
      </c>
      <c r="H22" s="333">
        <f t="shared" si="1"/>
        <v>0.64499999999999991</v>
      </c>
      <c r="I22" s="373">
        <v>22</v>
      </c>
      <c r="J22" s="374">
        <f t="shared" si="2"/>
        <v>2.1</v>
      </c>
      <c r="K22" s="335"/>
      <c r="L22" s="335"/>
      <c r="M22" s="336">
        <f t="shared" si="3"/>
        <v>0</v>
      </c>
      <c r="N22" s="332">
        <f>ROUND(AVERAGE(5-4*(M22)/(M9)),1)</f>
        <v>5</v>
      </c>
      <c r="O22" s="337">
        <f t="shared" si="4"/>
        <v>0.75</v>
      </c>
      <c r="P22" s="375" t="e">
        <f>ROUND(5-4*#REF!/10,1)</f>
        <v>#REF!</v>
      </c>
      <c r="Q22" s="376"/>
      <c r="R22" s="336"/>
      <c r="S22" s="336"/>
      <c r="T22" s="331">
        <f t="shared" si="5"/>
        <v>0</v>
      </c>
      <c r="U22" s="341">
        <f>ROUND(AVERAGE(5-4*(T22)/(T9)),1)</f>
        <v>5</v>
      </c>
      <c r="V22" s="337">
        <f t="shared" si="6"/>
        <v>0.75</v>
      </c>
      <c r="W22" s="370">
        <v>70</v>
      </c>
      <c r="X22" s="339"/>
      <c r="Y22" s="340">
        <f t="shared" si="7"/>
        <v>70</v>
      </c>
      <c r="Z22" s="341">
        <f>ROUND(AVERAGE(5-4*(Y22)/(Y9)),1)</f>
        <v>3.6</v>
      </c>
      <c r="AA22" s="337">
        <f t="shared" si="8"/>
        <v>0.54</v>
      </c>
      <c r="AB22" s="342">
        <v>16</v>
      </c>
      <c r="AC22" s="341">
        <f t="shared" si="9"/>
        <v>2.6296296296296298</v>
      </c>
      <c r="AD22" s="337">
        <f t="shared" si="10"/>
        <v>0.26296296296296301</v>
      </c>
      <c r="AE22" s="370"/>
      <c r="AF22" s="343">
        <f t="shared" si="11"/>
        <v>5</v>
      </c>
      <c r="AG22" s="337">
        <f t="shared" si="12"/>
        <v>1.5</v>
      </c>
      <c r="AH22" s="340"/>
      <c r="AI22" s="331"/>
      <c r="AJ22" s="340"/>
      <c r="AK22" s="341">
        <f>ROUND(AVERAGE(5-4*(AJ22)/(AJ9)),1)</f>
        <v>5</v>
      </c>
      <c r="AL22" s="337">
        <f t="shared" si="14"/>
        <v>0.75</v>
      </c>
      <c r="AM22" s="331"/>
      <c r="AN22" s="331"/>
      <c r="AO22" s="340"/>
      <c r="AP22" s="341">
        <f>ROUND(AVERAGE(5-4*(AO22)/(AO9)),1)</f>
        <v>5</v>
      </c>
      <c r="AQ22" s="344">
        <f t="shared" si="16"/>
        <v>0.75</v>
      </c>
      <c r="AR22" s="331"/>
      <c r="AS22" s="331"/>
      <c r="AT22" s="340"/>
      <c r="AU22" s="345">
        <f>ROUND(AVERAGE(5-4*(AT22)/(AT9)),1)</f>
        <v>5</v>
      </c>
      <c r="AV22" s="346">
        <f t="shared" si="18"/>
        <v>0.75</v>
      </c>
      <c r="AW22" s="331"/>
      <c r="AX22" s="331"/>
      <c r="AY22" s="331"/>
      <c r="AZ22" s="331"/>
      <c r="BA22" s="345">
        <f>ROUND(AVERAGE(5-4*(AZ22)/(AZ9)),1)</f>
        <v>5</v>
      </c>
      <c r="BB22" s="346">
        <f t="shared" si="20"/>
        <v>0.75</v>
      </c>
      <c r="BC22" s="348"/>
      <c r="BD22" s="345">
        <f>5-(4*BC22/BC9)</f>
        <v>5</v>
      </c>
      <c r="BE22" s="346">
        <f t="shared" si="21"/>
        <v>0.5</v>
      </c>
      <c r="BF22" s="336"/>
      <c r="BG22" s="349">
        <f>ROUND(AVERAGE(5-4*(BF22)/(BF9)),1)</f>
        <v>5</v>
      </c>
      <c r="BH22" s="347">
        <f t="shared" si="22"/>
        <v>1.5</v>
      </c>
      <c r="BI22" s="348" t="s">
        <v>93</v>
      </c>
      <c r="BJ22" s="348" t="s">
        <v>93</v>
      </c>
      <c r="BK22" s="348" t="s">
        <v>95</v>
      </c>
      <c r="BL22" s="350">
        <v>45950</v>
      </c>
    </row>
    <row r="23" spans="1:64" ht="14.25" customHeight="1" x14ac:dyDescent="0.3">
      <c r="A23" s="63">
        <v>13</v>
      </c>
      <c r="B23" s="273" t="s">
        <v>125</v>
      </c>
      <c r="C23" s="237" t="s">
        <v>126</v>
      </c>
      <c r="D23" s="75">
        <v>36</v>
      </c>
      <c r="E23" s="75">
        <v>10</v>
      </c>
      <c r="F23" s="93">
        <f t="shared" si="0"/>
        <v>46</v>
      </c>
      <c r="G23" s="266">
        <f>ROUND(AVERAGE(5-4*(F23)/(F9)),1)</f>
        <v>3.2</v>
      </c>
      <c r="H23" s="245">
        <f t="shared" si="1"/>
        <v>0.48</v>
      </c>
      <c r="I23" s="246">
        <v>26</v>
      </c>
      <c r="J23" s="247">
        <f t="shared" si="2"/>
        <v>1.5</v>
      </c>
      <c r="K23" s="78">
        <v>39</v>
      </c>
      <c r="L23" s="78">
        <v>31</v>
      </c>
      <c r="M23" s="81">
        <f t="shared" si="3"/>
        <v>70</v>
      </c>
      <c r="N23" s="266">
        <f>ROUND(AVERAGE(5-4*(M23)/(M9)),1)</f>
        <v>2.2000000000000002</v>
      </c>
      <c r="O23" s="108">
        <f t="shared" si="4"/>
        <v>0.33</v>
      </c>
      <c r="P23" s="248" t="e">
        <f>ROUND(5-4*#REF!/10,1)</f>
        <v>#REF!</v>
      </c>
      <c r="Q23" s="249"/>
      <c r="R23" s="81">
        <v>28</v>
      </c>
      <c r="S23" s="81">
        <v>28</v>
      </c>
      <c r="T23" s="93">
        <f t="shared" si="5"/>
        <v>56</v>
      </c>
      <c r="U23" s="106">
        <f>ROUND(AVERAGE(5-4*(T23)/(T9)),1)</f>
        <v>2.8</v>
      </c>
      <c r="V23" s="108">
        <f t="shared" si="6"/>
        <v>0.42</v>
      </c>
      <c r="W23" s="83">
        <v>70</v>
      </c>
      <c r="X23" s="95">
        <v>80</v>
      </c>
      <c r="Y23" s="96">
        <f t="shared" si="7"/>
        <v>150</v>
      </c>
      <c r="Z23" s="106">
        <f>ROUND(AVERAGE(5-4*(Y23)/(Y9)),1)</f>
        <v>2</v>
      </c>
      <c r="AA23" s="108">
        <f t="shared" si="8"/>
        <v>0.3</v>
      </c>
      <c r="AB23" s="98">
        <v>27</v>
      </c>
      <c r="AC23" s="106">
        <f t="shared" si="9"/>
        <v>1</v>
      </c>
      <c r="AD23" s="108">
        <f t="shared" si="10"/>
        <v>0.1</v>
      </c>
      <c r="AE23" s="83">
        <v>15</v>
      </c>
      <c r="AF23" s="107">
        <f t="shared" si="11"/>
        <v>4.0999999999999996</v>
      </c>
      <c r="AG23" s="108">
        <f t="shared" si="12"/>
        <v>1.2299999999999998</v>
      </c>
      <c r="AH23" s="96">
        <v>27</v>
      </c>
      <c r="AI23" s="93">
        <v>15</v>
      </c>
      <c r="AJ23" s="96">
        <f t="shared" si="13"/>
        <v>42</v>
      </c>
      <c r="AK23" s="106">
        <f>ROUND(AVERAGE(5-4*(AJ23)/(AJ9)),1)</f>
        <v>3.3</v>
      </c>
      <c r="AL23" s="108">
        <f t="shared" si="14"/>
        <v>0.49499999999999994</v>
      </c>
      <c r="AM23" s="93">
        <v>30</v>
      </c>
      <c r="AN23" s="93">
        <v>30</v>
      </c>
      <c r="AO23" s="96">
        <f t="shared" si="15"/>
        <v>60</v>
      </c>
      <c r="AP23" s="106">
        <f>ROUND(AVERAGE(5-4*(AO23)/(AO9)),1)</f>
        <v>2.6</v>
      </c>
      <c r="AQ23" s="158">
        <f t="shared" si="16"/>
        <v>0.39</v>
      </c>
      <c r="AR23" s="93">
        <v>35</v>
      </c>
      <c r="AS23" s="93">
        <v>40</v>
      </c>
      <c r="AT23" s="96">
        <f t="shared" si="17"/>
        <v>75</v>
      </c>
      <c r="AU23" s="148">
        <f>ROUND(AVERAGE(5-4*(AT23)/(AT9)),1)</f>
        <v>2</v>
      </c>
      <c r="AV23" s="149">
        <f t="shared" si="18"/>
        <v>0.3</v>
      </c>
      <c r="AW23" s="93">
        <v>80</v>
      </c>
      <c r="AX23" s="93">
        <v>80</v>
      </c>
      <c r="AY23" s="93">
        <v>85</v>
      </c>
      <c r="AZ23" s="93">
        <f t="shared" si="19"/>
        <v>245</v>
      </c>
      <c r="BA23" s="148">
        <f>ROUND(AVERAGE(5-4*(AZ23)/(AZ9)),1)</f>
        <v>1.7</v>
      </c>
      <c r="BB23" s="149">
        <f t="shared" si="20"/>
        <v>0.255</v>
      </c>
      <c r="BC23" s="165">
        <v>27</v>
      </c>
      <c r="BD23" s="148">
        <f>5-(4*BC23/BC9)</f>
        <v>1</v>
      </c>
      <c r="BE23" s="149">
        <f t="shared" si="21"/>
        <v>0.1</v>
      </c>
      <c r="BF23" s="81">
        <v>32</v>
      </c>
      <c r="BG23" s="156">
        <f>ROUND(AVERAGE(5-4*(BF23)/(BF9)),1)</f>
        <v>3.2</v>
      </c>
      <c r="BH23" s="151">
        <f t="shared" si="22"/>
        <v>0.96</v>
      </c>
      <c r="BI23" s="165">
        <f t="shared" si="23"/>
        <v>2.86</v>
      </c>
      <c r="BJ23" s="165">
        <f t="shared" si="24"/>
        <v>2.5</v>
      </c>
      <c r="BK23" s="165">
        <f t="shared" si="25"/>
        <v>2.6799999999999997</v>
      </c>
      <c r="BL23" s="81" t="s">
        <v>91</v>
      </c>
    </row>
    <row r="24" spans="1:64" s="20" customFormat="1" ht="16.5" customHeight="1" x14ac:dyDescent="0.3">
      <c r="A24" s="387">
        <v>14</v>
      </c>
      <c r="B24" s="328" t="s">
        <v>127</v>
      </c>
      <c r="C24" s="329" t="s">
        <v>128</v>
      </c>
      <c r="D24" s="388">
        <v>8</v>
      </c>
      <c r="E24" s="388">
        <v>9</v>
      </c>
      <c r="F24" s="331">
        <f t="shared" si="0"/>
        <v>17</v>
      </c>
      <c r="G24" s="332">
        <f>ROUND(AVERAGE(5-4*(F24)/(F9)),1)</f>
        <v>4.3</v>
      </c>
      <c r="H24" s="333">
        <f>G24*0.15</f>
        <v>0.64499999999999991</v>
      </c>
      <c r="I24" s="373">
        <v>0</v>
      </c>
      <c r="J24" s="374">
        <f t="shared" si="2"/>
        <v>5</v>
      </c>
      <c r="K24" s="335"/>
      <c r="L24" s="335"/>
      <c r="M24" s="336">
        <f t="shared" si="3"/>
        <v>0</v>
      </c>
      <c r="N24" s="332">
        <f>ROUND(AVERAGE(5-4*(M24)/(M9)),1)</f>
        <v>5</v>
      </c>
      <c r="O24" s="337">
        <f t="shared" si="4"/>
        <v>0.75</v>
      </c>
      <c r="P24" s="375" t="e">
        <f>ROUND(5-4*#REF!/10,1)</f>
        <v>#REF!</v>
      </c>
      <c r="Q24" s="376"/>
      <c r="R24" s="336"/>
      <c r="S24" s="336"/>
      <c r="T24" s="331">
        <f t="shared" si="5"/>
        <v>0</v>
      </c>
      <c r="U24" s="341">
        <f>ROUND(AVERAGE(5-4*(T24)/(T9)),1)</f>
        <v>5</v>
      </c>
      <c r="V24" s="337">
        <f t="shared" si="6"/>
        <v>0.75</v>
      </c>
      <c r="W24" s="370">
        <v>70</v>
      </c>
      <c r="X24" s="339"/>
      <c r="Y24" s="340">
        <f t="shared" si="7"/>
        <v>70</v>
      </c>
      <c r="Z24" s="341">
        <f>ROUND(AVERAGE(5-4*(Y24)/(Y9)),1)</f>
        <v>3.6</v>
      </c>
      <c r="AA24" s="337">
        <f t="shared" si="8"/>
        <v>0.54</v>
      </c>
      <c r="AB24" s="342">
        <v>16</v>
      </c>
      <c r="AC24" s="341">
        <f t="shared" si="9"/>
        <v>2.6296296296296298</v>
      </c>
      <c r="AD24" s="337">
        <f t="shared" si="10"/>
        <v>0.26296296296296301</v>
      </c>
      <c r="AE24" s="370"/>
      <c r="AF24" s="343">
        <f>ROUND(AVERAGE(5-4*(AE24)/(70)),1)</f>
        <v>5</v>
      </c>
      <c r="AG24" s="337">
        <f t="shared" si="12"/>
        <v>1.5</v>
      </c>
      <c r="AH24" s="340"/>
      <c r="AI24" s="331"/>
      <c r="AJ24" s="340"/>
      <c r="AK24" s="341">
        <f>ROUND(AVERAGE(5-4*(AJ24)/(AJ9)),1)</f>
        <v>5</v>
      </c>
      <c r="AL24" s="337">
        <f t="shared" si="14"/>
        <v>0.75</v>
      </c>
      <c r="AM24" s="331"/>
      <c r="AN24" s="331"/>
      <c r="AO24" s="340"/>
      <c r="AP24" s="341">
        <f>ROUND(AVERAGE(5-4*(AO24)/(AO9)),1)</f>
        <v>5</v>
      </c>
      <c r="AQ24" s="344">
        <f t="shared" si="16"/>
        <v>0.75</v>
      </c>
      <c r="AR24" s="331"/>
      <c r="AS24" s="331"/>
      <c r="AT24" s="340">
        <f t="shared" si="17"/>
        <v>0</v>
      </c>
      <c r="AU24" s="345">
        <f>ROUND(AVERAGE(5-4*(AT24)/(AT9)),1)</f>
        <v>5</v>
      </c>
      <c r="AV24" s="346">
        <f t="shared" si="18"/>
        <v>0.75</v>
      </c>
      <c r="AW24" s="331"/>
      <c r="AX24" s="331"/>
      <c r="AY24" s="331"/>
      <c r="AZ24" s="331"/>
      <c r="BA24" s="345">
        <f>ROUND(AVERAGE(5-4*(AZ24)/(AZ9)),1)</f>
        <v>5</v>
      </c>
      <c r="BB24" s="346">
        <f t="shared" si="20"/>
        <v>0.75</v>
      </c>
      <c r="BC24" s="348"/>
      <c r="BD24" s="345">
        <f>5-(4*BC24/BC9)</f>
        <v>5</v>
      </c>
      <c r="BE24" s="346">
        <f t="shared" si="21"/>
        <v>0.5</v>
      </c>
      <c r="BF24" s="336"/>
      <c r="BG24" s="349">
        <f>ROUND(AVERAGE(5-4*(BF24)/(BF9)),1)</f>
        <v>5</v>
      </c>
      <c r="BH24" s="347">
        <f t="shared" si="22"/>
        <v>1.5</v>
      </c>
      <c r="BI24" s="348" t="s">
        <v>93</v>
      </c>
      <c r="BJ24" s="348" t="s">
        <v>93</v>
      </c>
      <c r="BK24" s="348" t="s">
        <v>95</v>
      </c>
      <c r="BL24" s="350">
        <v>45950</v>
      </c>
    </row>
    <row r="25" spans="1:64" s="20" customFormat="1" ht="15" customHeight="1" x14ac:dyDescent="0.3">
      <c r="A25" s="63">
        <v>15</v>
      </c>
      <c r="B25" s="273" t="s">
        <v>129</v>
      </c>
      <c r="C25" s="237" t="s">
        <v>130</v>
      </c>
      <c r="D25" s="75">
        <v>36</v>
      </c>
      <c r="E25" s="75">
        <v>19</v>
      </c>
      <c r="F25" s="93">
        <f t="shared" si="0"/>
        <v>55</v>
      </c>
      <c r="G25" s="266">
        <f>ROUND(AVERAGE(5-4*(F25)/(F9)),1)</f>
        <v>2.8</v>
      </c>
      <c r="H25" s="245">
        <f>G25*0.15</f>
        <v>0.42</v>
      </c>
      <c r="I25" s="246">
        <v>25</v>
      </c>
      <c r="J25" s="247">
        <f>ROUND(5-4*I25/30,1)</f>
        <v>1.7</v>
      </c>
      <c r="K25" s="78">
        <v>39</v>
      </c>
      <c r="L25" s="78">
        <v>28</v>
      </c>
      <c r="M25" s="81">
        <f t="shared" si="3"/>
        <v>67</v>
      </c>
      <c r="N25" s="266">
        <f>ROUND(AVERAGE(5-4*(M25)/(M9)),1)</f>
        <v>2.2999999999999998</v>
      </c>
      <c r="O25" s="108">
        <f t="shared" si="4"/>
        <v>0.34499999999999997</v>
      </c>
      <c r="P25" s="248" t="e">
        <f>ROUND(5-4*#REF!/10,1)</f>
        <v>#REF!</v>
      </c>
      <c r="Q25" s="249"/>
      <c r="R25" s="83">
        <v>30</v>
      </c>
      <c r="S25" s="83">
        <v>34</v>
      </c>
      <c r="T25" s="93">
        <f t="shared" si="5"/>
        <v>64</v>
      </c>
      <c r="U25" s="106">
        <f>ROUND(AVERAGE(5-4*(T25)/(T9)),1)</f>
        <v>2.4</v>
      </c>
      <c r="V25" s="108">
        <f t="shared" si="6"/>
        <v>0.36</v>
      </c>
      <c r="W25" s="83">
        <v>80</v>
      </c>
      <c r="X25" s="95">
        <v>80</v>
      </c>
      <c r="Y25" s="96">
        <f t="shared" si="7"/>
        <v>160</v>
      </c>
      <c r="Z25" s="106">
        <f>ROUND(AVERAGE(5-4*(Y25)/(Y9)),1)</f>
        <v>1.8</v>
      </c>
      <c r="AA25" s="108">
        <f t="shared" si="8"/>
        <v>0.27</v>
      </c>
      <c r="AB25" s="98">
        <v>27</v>
      </c>
      <c r="AC25" s="106">
        <f t="shared" si="9"/>
        <v>1</v>
      </c>
      <c r="AD25" s="108">
        <f t="shared" si="10"/>
        <v>0.1</v>
      </c>
      <c r="AE25" s="83">
        <v>18</v>
      </c>
      <c r="AF25" s="107">
        <f t="shared" si="11"/>
        <v>4</v>
      </c>
      <c r="AG25" s="108">
        <f t="shared" si="12"/>
        <v>1.2</v>
      </c>
      <c r="AH25" s="96">
        <v>24</v>
      </c>
      <c r="AI25" s="93">
        <v>31</v>
      </c>
      <c r="AJ25" s="96">
        <f>SUM(AH25+AI25)</f>
        <v>55</v>
      </c>
      <c r="AK25" s="106">
        <f>ROUND(AVERAGE(5-4*(AJ25)/(AJ9)),1)</f>
        <v>2.8</v>
      </c>
      <c r="AL25" s="108">
        <f>AK25*0.15</f>
        <v>0.42</v>
      </c>
      <c r="AM25" s="93">
        <v>31</v>
      </c>
      <c r="AN25" s="93">
        <v>35</v>
      </c>
      <c r="AO25" s="96">
        <f t="shared" si="15"/>
        <v>66</v>
      </c>
      <c r="AP25" s="106">
        <f>ROUND(AVERAGE(5-4*(AO25)/(AO9)),1)</f>
        <v>2.4</v>
      </c>
      <c r="AQ25" s="158">
        <f t="shared" si="16"/>
        <v>0.36</v>
      </c>
      <c r="AR25" s="93">
        <v>30</v>
      </c>
      <c r="AS25" s="93">
        <v>32</v>
      </c>
      <c r="AT25" s="96">
        <f t="shared" si="17"/>
        <v>62</v>
      </c>
      <c r="AU25" s="148">
        <f>ROUND(AVERAGE(5-4*(AT25)/(AT9)),1)</f>
        <v>2.5</v>
      </c>
      <c r="AV25" s="149">
        <f t="shared" si="18"/>
        <v>0.375</v>
      </c>
      <c r="AW25" s="93">
        <v>80</v>
      </c>
      <c r="AX25" s="93">
        <v>84</v>
      </c>
      <c r="AY25" s="93">
        <v>85</v>
      </c>
      <c r="AZ25" s="93">
        <f t="shared" si="19"/>
        <v>249</v>
      </c>
      <c r="BA25" s="148">
        <f>ROUND(AVERAGE(5-4*(AZ25)/(AZ9)),1)</f>
        <v>1.7</v>
      </c>
      <c r="BB25" s="149">
        <f t="shared" si="20"/>
        <v>0.255</v>
      </c>
      <c r="BC25" s="165">
        <v>27</v>
      </c>
      <c r="BD25" s="148">
        <f>5-(4*BC25/BC9)</f>
        <v>1</v>
      </c>
      <c r="BE25" s="149">
        <f t="shared" si="21"/>
        <v>0.1</v>
      </c>
      <c r="BF25" s="81">
        <v>35</v>
      </c>
      <c r="BG25" s="157">
        <f>ROUND(AVERAGE(5-4*(BF25)/(BF9)),1)</f>
        <v>3</v>
      </c>
      <c r="BH25" s="151">
        <f t="shared" si="22"/>
        <v>0.89999999999999991</v>
      </c>
      <c r="BI25" s="165">
        <f t="shared" si="23"/>
        <v>2.6950000000000003</v>
      </c>
      <c r="BJ25" s="165">
        <f t="shared" si="24"/>
        <v>2.41</v>
      </c>
      <c r="BK25" s="165">
        <v>2.5</v>
      </c>
      <c r="BL25" s="81" t="s">
        <v>91</v>
      </c>
    </row>
    <row r="26" spans="1:64" s="20" customFormat="1" ht="15.75" customHeight="1" x14ac:dyDescent="0.3">
      <c r="A26" s="63">
        <v>16</v>
      </c>
      <c r="B26" s="273" t="s">
        <v>131</v>
      </c>
      <c r="C26" s="237" t="s">
        <v>132</v>
      </c>
      <c r="D26" s="75">
        <v>30</v>
      </c>
      <c r="E26" s="75">
        <v>28</v>
      </c>
      <c r="F26" s="93">
        <f t="shared" si="0"/>
        <v>58</v>
      </c>
      <c r="G26" s="266">
        <f>ROUND(AVERAGE(5-4*(F26)/(F9)),1)</f>
        <v>2.7</v>
      </c>
      <c r="H26" s="245">
        <f>G26*0.15</f>
        <v>0.40500000000000003</v>
      </c>
      <c r="I26" s="256"/>
      <c r="J26" s="247"/>
      <c r="K26" s="78">
        <v>38</v>
      </c>
      <c r="L26" s="78">
        <v>30</v>
      </c>
      <c r="M26" s="81">
        <f t="shared" si="3"/>
        <v>68</v>
      </c>
      <c r="N26" s="266">
        <f>ROUND(AVERAGE(5-4*(M26)/(M9)),1)</f>
        <v>2.2999999999999998</v>
      </c>
      <c r="O26" s="108">
        <f t="shared" si="4"/>
        <v>0.34499999999999997</v>
      </c>
      <c r="P26" s="248" t="e">
        <f>ROUND(5-4*#REF!/10,1)</f>
        <v>#REF!</v>
      </c>
      <c r="Q26" s="249"/>
      <c r="R26" s="86">
        <v>33</v>
      </c>
      <c r="S26" s="86">
        <v>28</v>
      </c>
      <c r="T26" s="93">
        <f t="shared" si="5"/>
        <v>61</v>
      </c>
      <c r="U26" s="106">
        <f>ROUND(AVERAGE(5-4*(T26)/(T9)),1)</f>
        <v>2.6</v>
      </c>
      <c r="V26" s="108">
        <f t="shared" si="6"/>
        <v>0.39</v>
      </c>
      <c r="W26" s="86">
        <v>72</v>
      </c>
      <c r="X26" s="95">
        <v>80</v>
      </c>
      <c r="Y26" s="96">
        <f t="shared" si="7"/>
        <v>152</v>
      </c>
      <c r="Z26" s="106">
        <f>ROUND(AVERAGE(5-4*(Y26)/(Y9)),1)</f>
        <v>2</v>
      </c>
      <c r="AA26" s="108">
        <f t="shared" si="8"/>
        <v>0.3</v>
      </c>
      <c r="AB26" s="98">
        <v>27</v>
      </c>
      <c r="AC26" s="106">
        <f t="shared" si="9"/>
        <v>1</v>
      </c>
      <c r="AD26" s="108">
        <f t="shared" si="10"/>
        <v>0.1</v>
      </c>
      <c r="AE26" s="86">
        <v>35</v>
      </c>
      <c r="AF26" s="107">
        <f t="shared" si="11"/>
        <v>3</v>
      </c>
      <c r="AG26" s="108">
        <f t="shared" si="12"/>
        <v>0.89999999999999991</v>
      </c>
      <c r="AH26" s="96">
        <v>22</v>
      </c>
      <c r="AI26" s="93">
        <v>34</v>
      </c>
      <c r="AJ26" s="96">
        <f t="shared" si="13"/>
        <v>56</v>
      </c>
      <c r="AK26" s="106">
        <f>ROUND(AVERAGE(5-4*(AJ26)/(AJ9)),1)</f>
        <v>2.8</v>
      </c>
      <c r="AL26" s="108">
        <f t="shared" si="14"/>
        <v>0.42</v>
      </c>
      <c r="AM26" s="93">
        <v>32</v>
      </c>
      <c r="AN26" s="93">
        <v>33</v>
      </c>
      <c r="AO26" s="96">
        <f t="shared" si="15"/>
        <v>65</v>
      </c>
      <c r="AP26" s="106">
        <f>ROUND(AVERAGE(5-4*(AO26)/(AO9)),1)</f>
        <v>2.4</v>
      </c>
      <c r="AQ26" s="158">
        <f t="shared" si="16"/>
        <v>0.36</v>
      </c>
      <c r="AR26" s="93">
        <v>30</v>
      </c>
      <c r="AS26" s="93">
        <v>34</v>
      </c>
      <c r="AT26" s="96">
        <f t="shared" si="17"/>
        <v>64</v>
      </c>
      <c r="AU26" s="148">
        <f>ROUND(AVERAGE(5-4*(AT26)/(AT9)),1)</f>
        <v>2.4</v>
      </c>
      <c r="AV26" s="149">
        <f t="shared" si="18"/>
        <v>0.36</v>
      </c>
      <c r="AW26" s="93">
        <v>85</v>
      </c>
      <c r="AX26" s="93">
        <v>88</v>
      </c>
      <c r="AY26" s="93">
        <v>87</v>
      </c>
      <c r="AZ26" s="93">
        <f t="shared" si="19"/>
        <v>260</v>
      </c>
      <c r="BA26" s="148">
        <f>ROUND(AVERAGE(5-4*(AZ26)/(AZ9)),1)</f>
        <v>1.5</v>
      </c>
      <c r="BB26" s="149">
        <f t="shared" si="20"/>
        <v>0.22499999999999998</v>
      </c>
      <c r="BC26" s="81">
        <v>25.5</v>
      </c>
      <c r="BD26" s="148">
        <f>5-(4*BC26/BC9)</f>
        <v>1.2222222222222223</v>
      </c>
      <c r="BE26" s="149">
        <f t="shared" si="21"/>
        <v>0.12222222222222223</v>
      </c>
      <c r="BF26" s="81">
        <v>33</v>
      </c>
      <c r="BG26" s="157">
        <f>ROUND(AVERAGE(5-4*(BF26)/(BF9)),1)</f>
        <v>3.1</v>
      </c>
      <c r="BH26" s="151">
        <f t="shared" si="22"/>
        <v>0.92999999999999994</v>
      </c>
      <c r="BI26" s="165">
        <f t="shared" si="23"/>
        <v>2.4400000000000004</v>
      </c>
      <c r="BJ26" s="165">
        <f t="shared" si="24"/>
        <v>2.4172222222222226</v>
      </c>
      <c r="BK26" s="165">
        <f t="shared" si="25"/>
        <v>2.4286111111111115</v>
      </c>
      <c r="BL26" s="81" t="s">
        <v>91</v>
      </c>
    </row>
    <row r="27" spans="1:64" s="20" customFormat="1" ht="15.75" customHeight="1" x14ac:dyDescent="0.3">
      <c r="A27" s="387">
        <v>17</v>
      </c>
      <c r="B27" s="328" t="s">
        <v>133</v>
      </c>
      <c r="C27" s="329" t="s">
        <v>134</v>
      </c>
      <c r="D27" s="388">
        <v>32</v>
      </c>
      <c r="E27" s="388"/>
      <c r="F27" s="331">
        <f t="shared" si="0"/>
        <v>32</v>
      </c>
      <c r="G27" s="332">
        <f>ROUND(AVERAGE(5-4*(F27)/(F9)),1)</f>
        <v>3.7</v>
      </c>
      <c r="H27" s="333">
        <f t="shared" ref="H27:H73" si="26">G27*0.15</f>
        <v>0.55500000000000005</v>
      </c>
      <c r="I27" s="373">
        <v>28</v>
      </c>
      <c r="J27" s="374">
        <f t="shared" ref="J27:J42" si="27">ROUND(5-4*I27/30,1)</f>
        <v>1.3</v>
      </c>
      <c r="K27" s="335"/>
      <c r="L27" s="335"/>
      <c r="M27" s="336"/>
      <c r="N27" s="332">
        <f>ROUND(AVERAGE(5-4*(M27)/(M9)),1)</f>
        <v>5</v>
      </c>
      <c r="O27" s="337">
        <f t="shared" si="4"/>
        <v>0.75</v>
      </c>
      <c r="P27" s="375" t="e">
        <f>ROUND(5-4*#REF!/10,1)</f>
        <v>#REF!</v>
      </c>
      <c r="Q27" s="376"/>
      <c r="R27" s="330"/>
      <c r="S27" s="330"/>
      <c r="T27" s="331"/>
      <c r="U27" s="341">
        <f>ROUND(AVERAGE(5-4*(T27)/(T9)),1)</f>
        <v>5</v>
      </c>
      <c r="V27" s="337">
        <f t="shared" si="6"/>
        <v>0.75</v>
      </c>
      <c r="W27" s="330"/>
      <c r="X27" s="339"/>
      <c r="Y27" s="340"/>
      <c r="Z27" s="341">
        <f>ROUND(AVERAGE(5-4*(Y27)/(Y9)),1)</f>
        <v>5</v>
      </c>
      <c r="AA27" s="337">
        <f t="shared" si="8"/>
        <v>0.75</v>
      </c>
      <c r="AB27" s="342">
        <v>19.5</v>
      </c>
      <c r="AC27" s="341">
        <f t="shared" si="9"/>
        <v>2.1111111111111112</v>
      </c>
      <c r="AD27" s="337">
        <f t="shared" si="10"/>
        <v>0.21111111111111114</v>
      </c>
      <c r="AE27" s="330"/>
      <c r="AF27" s="343">
        <f t="shared" si="11"/>
        <v>5</v>
      </c>
      <c r="AG27" s="337">
        <f t="shared" si="12"/>
        <v>1.5</v>
      </c>
      <c r="AH27" s="340"/>
      <c r="AI27" s="331"/>
      <c r="AJ27" s="340"/>
      <c r="AK27" s="341">
        <f>ROUND(AVERAGE(5-4*(AJ27)/(AJ9)),1)</f>
        <v>5</v>
      </c>
      <c r="AL27" s="337">
        <f t="shared" si="14"/>
        <v>0.75</v>
      </c>
      <c r="AM27" s="331"/>
      <c r="AN27" s="331"/>
      <c r="AO27" s="340"/>
      <c r="AP27" s="341">
        <f>ROUND(AVERAGE(5-4*(AO27)/(AO9)),1)</f>
        <v>5</v>
      </c>
      <c r="AQ27" s="344">
        <f t="shared" si="16"/>
        <v>0.75</v>
      </c>
      <c r="AR27" s="331"/>
      <c r="AS27" s="331"/>
      <c r="AT27" s="340"/>
      <c r="AU27" s="345">
        <f>ROUND(AVERAGE(5-4*(AT27)/(AT9)),1)</f>
        <v>5</v>
      </c>
      <c r="AV27" s="346">
        <f t="shared" si="18"/>
        <v>0.75</v>
      </c>
      <c r="AW27" s="331"/>
      <c r="AX27" s="331"/>
      <c r="AY27" s="331"/>
      <c r="AZ27" s="331"/>
      <c r="BA27" s="345">
        <f>ROUND(AVERAGE(5-4*(AZ27)/(AZ9)),1)</f>
        <v>5</v>
      </c>
      <c r="BB27" s="346">
        <f t="shared" si="20"/>
        <v>0.75</v>
      </c>
      <c r="BC27" s="336"/>
      <c r="BD27" s="345">
        <f>5-(4*BC27/BC9)</f>
        <v>5</v>
      </c>
      <c r="BE27" s="346">
        <f t="shared" si="21"/>
        <v>0.5</v>
      </c>
      <c r="BF27" s="336"/>
      <c r="BG27" s="349">
        <f>ROUND(AVERAGE(5-4*(BF27)/(BF9)),1)</f>
        <v>5</v>
      </c>
      <c r="BH27" s="347">
        <f t="shared" si="22"/>
        <v>1.5</v>
      </c>
      <c r="BI27" s="348" t="s">
        <v>93</v>
      </c>
      <c r="BJ27" s="348" t="s">
        <v>93</v>
      </c>
      <c r="BK27" s="348" t="s">
        <v>95</v>
      </c>
      <c r="BL27" s="350">
        <v>45943</v>
      </c>
    </row>
    <row r="28" spans="1:64" s="20" customFormat="1" ht="15" customHeight="1" x14ac:dyDescent="0.3">
      <c r="A28" s="387">
        <v>18</v>
      </c>
      <c r="B28" s="328" t="s">
        <v>135</v>
      </c>
      <c r="C28" s="329" t="s">
        <v>136</v>
      </c>
      <c r="D28" s="388"/>
      <c r="E28" s="388"/>
      <c r="F28" s="331"/>
      <c r="G28" s="332">
        <f>ROUND(AVERAGE(5-4*(F28)/(F9)),1)</f>
        <v>5</v>
      </c>
      <c r="H28" s="333">
        <f t="shared" si="26"/>
        <v>0.75</v>
      </c>
      <c r="I28" s="373">
        <v>30</v>
      </c>
      <c r="J28" s="374">
        <f t="shared" si="27"/>
        <v>1</v>
      </c>
      <c r="K28" s="335"/>
      <c r="L28" s="335"/>
      <c r="M28" s="336"/>
      <c r="N28" s="332">
        <f>ROUND(AVERAGE(5-4*(M28)/(M9)),1)</f>
        <v>5</v>
      </c>
      <c r="O28" s="337">
        <f t="shared" si="4"/>
        <v>0.75</v>
      </c>
      <c r="P28" s="375" t="e">
        <f>ROUND(5-4*#REF!/10,1)</f>
        <v>#REF!</v>
      </c>
      <c r="Q28" s="376"/>
      <c r="R28" s="330"/>
      <c r="S28" s="330"/>
      <c r="T28" s="331"/>
      <c r="U28" s="341">
        <f>ROUND(AVERAGE(5-4*(T28)/(T9)),1)</f>
        <v>5</v>
      </c>
      <c r="V28" s="337">
        <f t="shared" si="6"/>
        <v>0.75</v>
      </c>
      <c r="W28" s="330"/>
      <c r="X28" s="339"/>
      <c r="Y28" s="340"/>
      <c r="Z28" s="341">
        <f>ROUND(AVERAGE(5-4*(Y28)/(Y9)),1)</f>
        <v>5</v>
      </c>
      <c r="AA28" s="337">
        <f t="shared" si="8"/>
        <v>0.75</v>
      </c>
      <c r="AB28" s="342">
        <v>16</v>
      </c>
      <c r="AC28" s="341">
        <f t="shared" si="9"/>
        <v>2.6296296296296298</v>
      </c>
      <c r="AD28" s="337">
        <f t="shared" si="10"/>
        <v>0.26296296296296301</v>
      </c>
      <c r="AE28" s="330"/>
      <c r="AF28" s="343">
        <f t="shared" si="11"/>
        <v>5</v>
      </c>
      <c r="AG28" s="337">
        <f t="shared" si="12"/>
        <v>1.5</v>
      </c>
      <c r="AH28" s="340"/>
      <c r="AI28" s="331"/>
      <c r="AJ28" s="340"/>
      <c r="AK28" s="341">
        <f>ROUND(AVERAGE(5-4*(AJ28)/(AJ9)),1)</f>
        <v>5</v>
      </c>
      <c r="AL28" s="337">
        <f t="shared" si="14"/>
        <v>0.75</v>
      </c>
      <c r="AM28" s="331"/>
      <c r="AN28" s="331"/>
      <c r="AO28" s="340"/>
      <c r="AP28" s="341">
        <f>ROUND(AVERAGE(5-4*(AO28)/(AO9)),1)</f>
        <v>5</v>
      </c>
      <c r="AQ28" s="344">
        <f t="shared" si="16"/>
        <v>0.75</v>
      </c>
      <c r="AR28" s="331"/>
      <c r="AS28" s="331"/>
      <c r="AT28" s="340"/>
      <c r="AU28" s="345">
        <f>ROUND(AVERAGE(5-4*(AT28)/(AT9)),1)</f>
        <v>5</v>
      </c>
      <c r="AV28" s="346">
        <f t="shared" si="18"/>
        <v>0.75</v>
      </c>
      <c r="AW28" s="331"/>
      <c r="AX28" s="331"/>
      <c r="AY28" s="331"/>
      <c r="AZ28" s="331"/>
      <c r="BA28" s="345">
        <f>ROUND(AVERAGE(5-4*(AZ28)/(AZ9)),1)</f>
        <v>5</v>
      </c>
      <c r="BB28" s="346">
        <f t="shared" si="20"/>
        <v>0.75</v>
      </c>
      <c r="BC28" s="336"/>
      <c r="BD28" s="345">
        <f>5-(4*BC28/BC9)</f>
        <v>5</v>
      </c>
      <c r="BE28" s="346">
        <f t="shared" si="21"/>
        <v>0.5</v>
      </c>
      <c r="BF28" s="336"/>
      <c r="BG28" s="349">
        <f>ROUND(AVERAGE(5-4*(BF28)/(BF9)),1)</f>
        <v>5</v>
      </c>
      <c r="BH28" s="347">
        <f t="shared" si="22"/>
        <v>1.5</v>
      </c>
      <c r="BI28" s="348" t="s">
        <v>93</v>
      </c>
      <c r="BJ28" s="348" t="s">
        <v>93</v>
      </c>
      <c r="BK28" s="348" t="s">
        <v>95</v>
      </c>
      <c r="BL28" s="350">
        <v>45929</v>
      </c>
    </row>
    <row r="29" spans="1:64" s="20" customFormat="1" ht="15.75" customHeight="1" x14ac:dyDescent="0.3">
      <c r="A29" s="63">
        <v>19</v>
      </c>
      <c r="B29" s="273" t="s">
        <v>137</v>
      </c>
      <c r="C29" s="237" t="s">
        <v>138</v>
      </c>
      <c r="D29" s="75">
        <v>24</v>
      </c>
      <c r="E29" s="75">
        <v>17</v>
      </c>
      <c r="F29" s="93">
        <f t="shared" si="0"/>
        <v>41</v>
      </c>
      <c r="G29" s="266">
        <f>ROUND(AVERAGE(5-4*(F29)/(F9)),1)</f>
        <v>3.4</v>
      </c>
      <c r="H29" s="245">
        <f t="shared" si="26"/>
        <v>0.51</v>
      </c>
      <c r="I29" s="246">
        <v>25</v>
      </c>
      <c r="J29" s="247">
        <f t="shared" si="27"/>
        <v>1.7</v>
      </c>
      <c r="K29" s="78">
        <v>34</v>
      </c>
      <c r="L29" s="78">
        <v>28</v>
      </c>
      <c r="M29" s="81">
        <f t="shared" si="3"/>
        <v>62</v>
      </c>
      <c r="N29" s="266">
        <f>ROUND(AVERAGE(5-4*(M29)/(M9)),1)</f>
        <v>2.5</v>
      </c>
      <c r="O29" s="108">
        <f t="shared" si="4"/>
        <v>0.375</v>
      </c>
      <c r="P29" s="248" t="e">
        <f>ROUND(5-4*#REF!/10,1)</f>
        <v>#REF!</v>
      </c>
      <c r="Q29" s="249"/>
      <c r="R29" s="86">
        <v>32</v>
      </c>
      <c r="S29" s="86">
        <v>30</v>
      </c>
      <c r="T29" s="93">
        <f t="shared" si="5"/>
        <v>62</v>
      </c>
      <c r="U29" s="106">
        <f>ROUND(AVERAGE(5-4*(T29)/(T9)),1)</f>
        <v>2.5</v>
      </c>
      <c r="V29" s="108">
        <f t="shared" si="6"/>
        <v>0.375</v>
      </c>
      <c r="W29" s="86">
        <v>70</v>
      </c>
      <c r="X29" s="95">
        <v>82</v>
      </c>
      <c r="Y29" s="96">
        <f t="shared" si="7"/>
        <v>152</v>
      </c>
      <c r="Z29" s="106">
        <f>ROUND(AVERAGE(5-4*(Y29)/(Y9)),1)</f>
        <v>2</v>
      </c>
      <c r="AA29" s="108">
        <f t="shared" si="8"/>
        <v>0.3</v>
      </c>
      <c r="AB29" s="98">
        <v>24</v>
      </c>
      <c r="AC29" s="106">
        <f t="shared" si="9"/>
        <v>1.4444444444444446</v>
      </c>
      <c r="AD29" s="108">
        <f t="shared" si="10"/>
        <v>0.14444444444444446</v>
      </c>
      <c r="AE29" s="86">
        <v>22</v>
      </c>
      <c r="AF29" s="107">
        <f t="shared" si="11"/>
        <v>3.7</v>
      </c>
      <c r="AG29" s="108">
        <f t="shared" si="12"/>
        <v>1.1100000000000001</v>
      </c>
      <c r="AH29" s="96">
        <v>25</v>
      </c>
      <c r="AI29" s="93">
        <v>14</v>
      </c>
      <c r="AJ29" s="96">
        <f t="shared" si="13"/>
        <v>39</v>
      </c>
      <c r="AK29" s="106">
        <f>ROUND(AVERAGE(5-4*(AJ29)/(AJ9)),1)</f>
        <v>3.4</v>
      </c>
      <c r="AL29" s="108">
        <f t="shared" si="14"/>
        <v>0.51</v>
      </c>
      <c r="AM29" s="93">
        <v>30</v>
      </c>
      <c r="AN29" s="93">
        <v>30</v>
      </c>
      <c r="AO29" s="96">
        <f t="shared" si="15"/>
        <v>60</v>
      </c>
      <c r="AP29" s="106">
        <f>ROUND(AVERAGE(5-4*(AO29)/(AO9)),1)</f>
        <v>2.6</v>
      </c>
      <c r="AQ29" s="158">
        <f t="shared" si="16"/>
        <v>0.39</v>
      </c>
      <c r="AR29" s="93">
        <v>32</v>
      </c>
      <c r="AS29" s="93">
        <v>30</v>
      </c>
      <c r="AT29" s="96">
        <f t="shared" si="17"/>
        <v>62</v>
      </c>
      <c r="AU29" s="148">
        <f>ROUND(AVERAGE(5-4*(AT29)/(AT9)),1)</f>
        <v>2.5</v>
      </c>
      <c r="AV29" s="149">
        <f>AU29*0.15</f>
        <v>0.375</v>
      </c>
      <c r="AW29" s="93">
        <v>80</v>
      </c>
      <c r="AX29" s="93">
        <v>80</v>
      </c>
      <c r="AY29" s="93">
        <v>85</v>
      </c>
      <c r="AZ29" s="93">
        <f t="shared" si="19"/>
        <v>245</v>
      </c>
      <c r="BA29" s="148">
        <f>ROUND(AVERAGE(5-4*(AZ29)/(AZ9)),1)</f>
        <v>1.7</v>
      </c>
      <c r="BB29" s="149">
        <f t="shared" si="20"/>
        <v>0.255</v>
      </c>
      <c r="BC29" s="165">
        <v>21</v>
      </c>
      <c r="BD29" s="148">
        <f>5-(4*BC29/BC9)</f>
        <v>1.8888888888888888</v>
      </c>
      <c r="BE29" s="149">
        <f t="shared" si="21"/>
        <v>0.18888888888888888</v>
      </c>
      <c r="BF29" s="81">
        <v>35</v>
      </c>
      <c r="BG29" s="157">
        <f>ROUND(AVERAGE(5-4*(BF29)/(BF9)),1)</f>
        <v>3</v>
      </c>
      <c r="BH29" s="151">
        <f t="shared" si="22"/>
        <v>0.89999999999999991</v>
      </c>
      <c r="BI29" s="165">
        <f t="shared" si="23"/>
        <v>2.8144444444444447</v>
      </c>
      <c r="BJ29" s="165">
        <f t="shared" si="24"/>
        <v>2.6188888888888888</v>
      </c>
      <c r="BK29" s="165">
        <v>2.7</v>
      </c>
      <c r="BL29" s="81" t="s">
        <v>91</v>
      </c>
    </row>
    <row r="30" spans="1:64" s="20" customFormat="1" ht="15" customHeight="1" x14ac:dyDescent="0.3">
      <c r="A30" s="63">
        <v>20</v>
      </c>
      <c r="B30" s="273" t="s">
        <v>139</v>
      </c>
      <c r="C30" s="237" t="s">
        <v>140</v>
      </c>
      <c r="D30" s="240">
        <v>29</v>
      </c>
      <c r="E30" s="240">
        <v>15</v>
      </c>
      <c r="F30" s="207">
        <f t="shared" si="0"/>
        <v>44</v>
      </c>
      <c r="G30" s="267">
        <f>ROUND(AVERAGE(5-4*(F30)/(F9)),1)</f>
        <v>3.2</v>
      </c>
      <c r="H30" s="251">
        <f t="shared" si="26"/>
        <v>0.48</v>
      </c>
      <c r="I30" s="252">
        <v>30</v>
      </c>
      <c r="J30" s="253">
        <f t="shared" si="27"/>
        <v>1</v>
      </c>
      <c r="K30" s="205">
        <v>28</v>
      </c>
      <c r="L30" s="205">
        <v>30</v>
      </c>
      <c r="M30" s="206">
        <f t="shared" si="3"/>
        <v>58</v>
      </c>
      <c r="N30" s="267">
        <f>ROUND(AVERAGE(5-4*(M30)/(M9)),1)</f>
        <v>2.7</v>
      </c>
      <c r="O30" s="212">
        <f t="shared" si="4"/>
        <v>0.40500000000000003</v>
      </c>
      <c r="P30" s="254" t="e">
        <f>ROUND(5-4*#REF!/10,1)</f>
        <v>#REF!</v>
      </c>
      <c r="Q30" s="255"/>
      <c r="R30" s="202">
        <v>30</v>
      </c>
      <c r="S30" s="202">
        <v>30</v>
      </c>
      <c r="T30" s="207">
        <f t="shared" si="5"/>
        <v>60</v>
      </c>
      <c r="U30" s="209">
        <f>ROUND(AVERAGE(5-4*(T30)/(T9)),1)</f>
        <v>2.6</v>
      </c>
      <c r="V30" s="212">
        <f t="shared" si="6"/>
        <v>0.39</v>
      </c>
      <c r="W30" s="202">
        <v>80</v>
      </c>
      <c r="X30" s="208">
        <v>85</v>
      </c>
      <c r="Y30" s="203">
        <f t="shared" si="7"/>
        <v>165</v>
      </c>
      <c r="Z30" s="209">
        <f>ROUND(AVERAGE(5-4*(Y30)/(Y9)),1)</f>
        <v>1.7</v>
      </c>
      <c r="AA30" s="212">
        <f t="shared" si="8"/>
        <v>0.255</v>
      </c>
      <c r="AB30" s="218">
        <v>24</v>
      </c>
      <c r="AC30" s="209">
        <f t="shared" si="9"/>
        <v>1.4444444444444446</v>
      </c>
      <c r="AD30" s="212">
        <f t="shared" si="10"/>
        <v>0.14444444444444446</v>
      </c>
      <c r="AE30" s="202">
        <v>19</v>
      </c>
      <c r="AF30" s="211">
        <f t="shared" si="11"/>
        <v>3.9</v>
      </c>
      <c r="AG30" s="212">
        <f t="shared" si="12"/>
        <v>1.17</v>
      </c>
      <c r="AH30" s="203">
        <v>21</v>
      </c>
      <c r="AI30" s="207">
        <v>27</v>
      </c>
      <c r="AJ30" s="203">
        <f t="shared" si="13"/>
        <v>48</v>
      </c>
      <c r="AK30" s="209">
        <f>ROUND(AVERAGE(5-4*(AJ30)/(AJ9)),1)</f>
        <v>3.1</v>
      </c>
      <c r="AL30" s="212">
        <f t="shared" si="14"/>
        <v>0.46499999999999997</v>
      </c>
      <c r="AM30" s="207">
        <v>32</v>
      </c>
      <c r="AN30" s="207">
        <v>30</v>
      </c>
      <c r="AO30" s="96">
        <f t="shared" si="15"/>
        <v>62</v>
      </c>
      <c r="AP30" s="209">
        <f>ROUND(AVERAGE(5-4*(AO30)/(AO9)),1)</f>
        <v>2.5</v>
      </c>
      <c r="AQ30" s="215">
        <f t="shared" si="16"/>
        <v>0.375</v>
      </c>
      <c r="AR30" s="207">
        <v>34</v>
      </c>
      <c r="AS30" s="207">
        <v>35</v>
      </c>
      <c r="AT30" s="96">
        <f t="shared" si="17"/>
        <v>69</v>
      </c>
      <c r="AU30" s="213">
        <f>ROUND(AVERAGE(5-4*(AT30)/(AT9)),1)</f>
        <v>2.2000000000000002</v>
      </c>
      <c r="AV30" s="214">
        <f t="shared" si="18"/>
        <v>0.33</v>
      </c>
      <c r="AW30" s="207">
        <v>80</v>
      </c>
      <c r="AX30" s="207">
        <v>80</v>
      </c>
      <c r="AY30" s="207">
        <v>80</v>
      </c>
      <c r="AZ30" s="93">
        <f t="shared" si="19"/>
        <v>240</v>
      </c>
      <c r="BA30" s="213">
        <f>ROUND(AVERAGE(5-4*(AZ30)/(AZ9)),1)</f>
        <v>1.8</v>
      </c>
      <c r="BB30" s="214">
        <f t="shared" si="20"/>
        <v>0.27</v>
      </c>
      <c r="BC30" s="206">
        <v>22.5</v>
      </c>
      <c r="BD30" s="213">
        <f>5-(4*BC30/BC9)</f>
        <v>1.6666666666666665</v>
      </c>
      <c r="BE30" s="214">
        <f t="shared" si="21"/>
        <v>0.16666666666666666</v>
      </c>
      <c r="BF30" s="206">
        <v>23</v>
      </c>
      <c r="BG30" s="217">
        <f>ROUND(AVERAGE(5-4*(BF30)/(BF9)),1)</f>
        <v>3.7</v>
      </c>
      <c r="BH30" s="214">
        <f t="shared" si="22"/>
        <v>1.1100000000000001</v>
      </c>
      <c r="BI30" s="165">
        <f t="shared" si="23"/>
        <v>2.8444444444444441</v>
      </c>
      <c r="BJ30" s="165">
        <f t="shared" si="24"/>
        <v>2.7166666666666668</v>
      </c>
      <c r="BK30" s="165">
        <v>2.7</v>
      </c>
      <c r="BL30" s="81" t="s">
        <v>91</v>
      </c>
    </row>
    <row r="31" spans="1:64" s="20" customFormat="1" ht="15" customHeight="1" x14ac:dyDescent="0.3">
      <c r="A31" s="63">
        <v>21</v>
      </c>
      <c r="B31" s="273" t="s">
        <v>141</v>
      </c>
      <c r="C31" s="237" t="s">
        <v>142</v>
      </c>
      <c r="D31" s="202">
        <v>7</v>
      </c>
      <c r="E31" s="202">
        <v>27</v>
      </c>
      <c r="F31" s="207">
        <f t="shared" si="0"/>
        <v>34</v>
      </c>
      <c r="G31" s="267">
        <f>ROUND(AVERAGE(5-4*(F31)/(F9)),1)</f>
        <v>3.6</v>
      </c>
      <c r="H31" s="251">
        <f t="shared" si="26"/>
        <v>0.54</v>
      </c>
      <c r="I31" s="252">
        <v>26</v>
      </c>
      <c r="J31" s="253">
        <f t="shared" si="27"/>
        <v>1.5</v>
      </c>
      <c r="K31" s="205">
        <v>35</v>
      </c>
      <c r="L31" s="205">
        <v>30</v>
      </c>
      <c r="M31" s="206">
        <f t="shared" si="3"/>
        <v>65</v>
      </c>
      <c r="N31" s="267">
        <f>ROUND(AVERAGE(5-4*(M31)/(M9)),1)</f>
        <v>2.4</v>
      </c>
      <c r="O31" s="212">
        <f t="shared" si="4"/>
        <v>0.36</v>
      </c>
      <c r="P31" s="254" t="e">
        <f>ROUND(5-4*#REF!/10,1)</f>
        <v>#REF!</v>
      </c>
      <c r="Q31" s="255"/>
      <c r="R31" s="202">
        <v>38</v>
      </c>
      <c r="S31" s="202">
        <v>30</v>
      </c>
      <c r="T31" s="207">
        <f t="shared" si="5"/>
        <v>68</v>
      </c>
      <c r="U31" s="209">
        <f>ROUND(AVERAGE(5-4*(T31)/(T9)),1)</f>
        <v>2.2999999999999998</v>
      </c>
      <c r="V31" s="212">
        <f t="shared" si="6"/>
        <v>0.34499999999999997</v>
      </c>
      <c r="W31" s="202">
        <v>80</v>
      </c>
      <c r="X31" s="208">
        <v>84</v>
      </c>
      <c r="Y31" s="203">
        <f t="shared" si="7"/>
        <v>164</v>
      </c>
      <c r="Z31" s="209">
        <f>ROUND(AVERAGE(5-4*(Y31)/(Y9)),1)</f>
        <v>1.7</v>
      </c>
      <c r="AA31" s="212">
        <f t="shared" si="8"/>
        <v>0.255</v>
      </c>
      <c r="AB31" s="218">
        <v>27</v>
      </c>
      <c r="AC31" s="209">
        <f t="shared" si="9"/>
        <v>1</v>
      </c>
      <c r="AD31" s="212">
        <f>AC31*0.1</f>
        <v>0.1</v>
      </c>
      <c r="AE31" s="202">
        <v>21</v>
      </c>
      <c r="AF31" s="211">
        <f t="shared" si="11"/>
        <v>3.8</v>
      </c>
      <c r="AG31" s="212">
        <f>AF31*0.3</f>
        <v>1.1399999999999999</v>
      </c>
      <c r="AH31" s="203">
        <v>27</v>
      </c>
      <c r="AI31" s="207">
        <v>29</v>
      </c>
      <c r="AJ31" s="203">
        <f t="shared" si="13"/>
        <v>56</v>
      </c>
      <c r="AK31" s="209">
        <f>ROUND(AVERAGE(5-4*(AJ31)/(AJ9)),1)</f>
        <v>2.8</v>
      </c>
      <c r="AL31" s="212">
        <f t="shared" si="14"/>
        <v>0.42</v>
      </c>
      <c r="AM31" s="207">
        <v>34</v>
      </c>
      <c r="AN31" s="207">
        <v>32</v>
      </c>
      <c r="AO31" s="96">
        <f t="shared" si="15"/>
        <v>66</v>
      </c>
      <c r="AP31" s="209">
        <f>ROUND(AVERAGE(5-4*(AO31)/(AO9)),1)</f>
        <v>2.4</v>
      </c>
      <c r="AQ31" s="215">
        <f t="shared" si="16"/>
        <v>0.36</v>
      </c>
      <c r="AR31" s="207">
        <v>32</v>
      </c>
      <c r="AS31" s="207">
        <v>30</v>
      </c>
      <c r="AT31" s="96">
        <f t="shared" si="17"/>
        <v>62</v>
      </c>
      <c r="AU31" s="213">
        <f>ROUND(AVERAGE(5-4*(AT31)/(AT9)),1)</f>
        <v>2.5</v>
      </c>
      <c r="AV31" s="214">
        <f t="shared" si="18"/>
        <v>0.375</v>
      </c>
      <c r="AW31" s="207">
        <v>80</v>
      </c>
      <c r="AX31" s="207">
        <v>80</v>
      </c>
      <c r="AY31" s="207">
        <v>87</v>
      </c>
      <c r="AZ31" s="93">
        <f t="shared" si="19"/>
        <v>247</v>
      </c>
      <c r="BA31" s="213">
        <f>ROUND(AVERAGE(5-4*(AZ31)/(AZ9)),1)</f>
        <v>1.7</v>
      </c>
      <c r="BB31" s="214">
        <f t="shared" si="20"/>
        <v>0.255</v>
      </c>
      <c r="BC31" s="206">
        <v>22.5</v>
      </c>
      <c r="BD31" s="213">
        <f>5-(4*BC31/BC9)</f>
        <v>1.6666666666666665</v>
      </c>
      <c r="BE31" s="214">
        <f t="shared" si="21"/>
        <v>0.16666666666666666</v>
      </c>
      <c r="BF31" s="206">
        <v>35</v>
      </c>
      <c r="BG31" s="217">
        <f>ROUND(AVERAGE(5-4*(BF31)/(BF9)),1)</f>
        <v>3</v>
      </c>
      <c r="BH31" s="242">
        <f t="shared" si="22"/>
        <v>0.89999999999999991</v>
      </c>
      <c r="BI31" s="165">
        <f t="shared" si="23"/>
        <v>2.74</v>
      </c>
      <c r="BJ31" s="216">
        <f t="shared" si="24"/>
        <v>2.4766666666666666</v>
      </c>
      <c r="BK31" s="216">
        <f t="shared" si="25"/>
        <v>2.6083333333333334</v>
      </c>
      <c r="BL31" s="81" t="s">
        <v>91</v>
      </c>
    </row>
    <row r="32" spans="1:64" s="20" customFormat="1" ht="15" customHeight="1" x14ac:dyDescent="0.3">
      <c r="A32" s="63">
        <v>22</v>
      </c>
      <c r="B32" s="273" t="s">
        <v>143</v>
      </c>
      <c r="C32" s="237" t="s">
        <v>144</v>
      </c>
      <c r="D32" s="202">
        <v>18</v>
      </c>
      <c r="E32" s="202">
        <v>14</v>
      </c>
      <c r="F32" s="207">
        <f t="shared" si="0"/>
        <v>32</v>
      </c>
      <c r="G32" s="267">
        <f>ROUND(AVERAGE(5-4*(F32)/(F9)),1)</f>
        <v>3.7</v>
      </c>
      <c r="H32" s="251">
        <f t="shared" si="26"/>
        <v>0.55500000000000005</v>
      </c>
      <c r="I32" s="252">
        <v>25</v>
      </c>
      <c r="J32" s="253">
        <f t="shared" si="27"/>
        <v>1.7</v>
      </c>
      <c r="K32" s="205">
        <v>37</v>
      </c>
      <c r="L32" s="205">
        <v>28</v>
      </c>
      <c r="M32" s="206">
        <f t="shared" si="3"/>
        <v>65</v>
      </c>
      <c r="N32" s="267">
        <f>ROUND(AVERAGE(5-4*(M32)/(M9)),1)</f>
        <v>2.4</v>
      </c>
      <c r="O32" s="212">
        <f t="shared" si="4"/>
        <v>0.36</v>
      </c>
      <c r="P32" s="254" t="e">
        <f>ROUND(5-4*#REF!/10,1)</f>
        <v>#REF!</v>
      </c>
      <c r="Q32" s="255"/>
      <c r="R32" s="202">
        <v>30</v>
      </c>
      <c r="S32" s="202">
        <v>30</v>
      </c>
      <c r="T32" s="207">
        <f t="shared" si="5"/>
        <v>60</v>
      </c>
      <c r="U32" s="209">
        <f>ROUND(AVERAGE(5-4*(T32)/(T9)),1)</f>
        <v>2.6</v>
      </c>
      <c r="V32" s="212">
        <f t="shared" si="6"/>
        <v>0.39</v>
      </c>
      <c r="W32" s="202">
        <v>75</v>
      </c>
      <c r="X32" s="208">
        <v>80</v>
      </c>
      <c r="Y32" s="203">
        <f t="shared" si="7"/>
        <v>155</v>
      </c>
      <c r="Z32" s="209">
        <f>ROUND(AVERAGE(5-4*(Y32)/(Y9)),1)</f>
        <v>1.9</v>
      </c>
      <c r="AA32" s="212">
        <f t="shared" si="8"/>
        <v>0.28499999999999998</v>
      </c>
      <c r="AB32" s="218">
        <v>24</v>
      </c>
      <c r="AC32" s="209">
        <f t="shared" si="9"/>
        <v>1.4444444444444446</v>
      </c>
      <c r="AD32" s="212">
        <f t="shared" si="10"/>
        <v>0.14444444444444446</v>
      </c>
      <c r="AE32" s="202">
        <v>18</v>
      </c>
      <c r="AF32" s="211">
        <f t="shared" si="11"/>
        <v>4</v>
      </c>
      <c r="AG32" s="212">
        <f t="shared" si="12"/>
        <v>1.2</v>
      </c>
      <c r="AH32" s="203">
        <v>29</v>
      </c>
      <c r="AI32" s="207">
        <v>29</v>
      </c>
      <c r="AJ32" s="203">
        <f t="shared" si="13"/>
        <v>58</v>
      </c>
      <c r="AK32" s="209">
        <f>ROUND(AVERAGE(5-4*(AJ32)/(AJ9)),1)</f>
        <v>2.7</v>
      </c>
      <c r="AL32" s="212">
        <f t="shared" si="14"/>
        <v>0.40500000000000003</v>
      </c>
      <c r="AM32" s="207">
        <v>30</v>
      </c>
      <c r="AN32" s="207">
        <v>41</v>
      </c>
      <c r="AO32" s="96">
        <f t="shared" si="15"/>
        <v>71</v>
      </c>
      <c r="AP32" s="209">
        <f>ROUND(AVERAGE(5-4*(AO32)/(AO9)),1)</f>
        <v>2.2000000000000002</v>
      </c>
      <c r="AQ32" s="215">
        <f t="shared" si="16"/>
        <v>0.33</v>
      </c>
      <c r="AR32" s="207">
        <v>30</v>
      </c>
      <c r="AS32" s="207">
        <v>30</v>
      </c>
      <c r="AT32" s="96">
        <f t="shared" si="17"/>
        <v>60</v>
      </c>
      <c r="AU32" s="213">
        <f>ROUND(AVERAGE(5-4*(AT32)/(AT9)),1)</f>
        <v>2.6</v>
      </c>
      <c r="AV32" s="214">
        <f t="shared" si="18"/>
        <v>0.39</v>
      </c>
      <c r="AW32" s="207">
        <v>80</v>
      </c>
      <c r="AX32" s="207">
        <v>84</v>
      </c>
      <c r="AY32" s="207">
        <v>88</v>
      </c>
      <c r="AZ32" s="93">
        <f t="shared" si="19"/>
        <v>252</v>
      </c>
      <c r="BA32" s="213">
        <f>ROUND(AVERAGE(5-4*(AZ32)/(AZ9)),1)</f>
        <v>1.6</v>
      </c>
      <c r="BB32" s="214">
        <f t="shared" si="20"/>
        <v>0.24</v>
      </c>
      <c r="BC32" s="216">
        <v>24</v>
      </c>
      <c r="BD32" s="213">
        <f>5-(4*BC32/BC9)</f>
        <v>1.4444444444444446</v>
      </c>
      <c r="BE32" s="214">
        <f t="shared" si="21"/>
        <v>0.14444444444444446</v>
      </c>
      <c r="BF32" s="206">
        <v>28</v>
      </c>
      <c r="BG32" s="243">
        <f>ROUND(AVERAGE(5-4*(BF32)/(BF9)),1)</f>
        <v>3.4</v>
      </c>
      <c r="BH32" s="242">
        <f t="shared" si="22"/>
        <v>1.02</v>
      </c>
      <c r="BI32" s="165">
        <f t="shared" si="23"/>
        <v>2.9344444444444444</v>
      </c>
      <c r="BJ32" s="216">
        <f t="shared" si="24"/>
        <v>2.5294444444444446</v>
      </c>
      <c r="BK32" s="216">
        <f t="shared" si="25"/>
        <v>2.7319444444444443</v>
      </c>
      <c r="BL32" s="81" t="s">
        <v>91</v>
      </c>
    </row>
    <row r="33" spans="1:64" s="20" customFormat="1" ht="15" customHeight="1" x14ac:dyDescent="0.3">
      <c r="A33" s="63">
        <v>23</v>
      </c>
      <c r="B33" s="273" t="s">
        <v>145</v>
      </c>
      <c r="C33" s="237" t="s">
        <v>146</v>
      </c>
      <c r="D33" s="202">
        <v>18</v>
      </c>
      <c r="E33" s="202">
        <v>36</v>
      </c>
      <c r="F33" s="207">
        <f>SUM(D33+E33)</f>
        <v>54</v>
      </c>
      <c r="G33" s="267">
        <f>ROUND(AVERAGE(5-4*(F33)/(F9)),1)</f>
        <v>2.8</v>
      </c>
      <c r="H33" s="251">
        <f t="shared" si="26"/>
        <v>0.42</v>
      </c>
      <c r="I33" s="252">
        <v>26</v>
      </c>
      <c r="J33" s="253">
        <f t="shared" si="27"/>
        <v>1.5</v>
      </c>
      <c r="K33" s="205">
        <v>37</v>
      </c>
      <c r="L33" s="205">
        <v>29</v>
      </c>
      <c r="M33" s="206">
        <f t="shared" si="3"/>
        <v>66</v>
      </c>
      <c r="N33" s="267">
        <f>ROUND(AVERAGE(5-4*(M33)/(M9)),1)</f>
        <v>2.4</v>
      </c>
      <c r="O33" s="212">
        <f t="shared" si="4"/>
        <v>0.36</v>
      </c>
      <c r="P33" s="254" t="e">
        <f>ROUND(5-4*#REF!/10,1)</f>
        <v>#REF!</v>
      </c>
      <c r="Q33" s="255"/>
      <c r="R33" s="202">
        <v>35</v>
      </c>
      <c r="S33" s="202">
        <v>30</v>
      </c>
      <c r="T33" s="207">
        <f t="shared" si="5"/>
        <v>65</v>
      </c>
      <c r="U33" s="209">
        <f>ROUND(AVERAGE(5-4*(T33)/(T9)),1)</f>
        <v>2.4</v>
      </c>
      <c r="V33" s="212">
        <f t="shared" si="6"/>
        <v>0.36</v>
      </c>
      <c r="W33" s="202">
        <v>83</v>
      </c>
      <c r="X33" s="208">
        <v>85</v>
      </c>
      <c r="Y33" s="203">
        <f t="shared" si="7"/>
        <v>168</v>
      </c>
      <c r="Z33" s="209">
        <f>ROUND(AVERAGE(5-4*(Y33)/(Y9)),1)</f>
        <v>1.6</v>
      </c>
      <c r="AA33" s="212">
        <f>Z33*0.15</f>
        <v>0.24</v>
      </c>
      <c r="AB33" s="218">
        <v>27</v>
      </c>
      <c r="AC33" s="209">
        <f>5-(4*AB33/27)</f>
        <v>1</v>
      </c>
      <c r="AD33" s="212">
        <f t="shared" si="10"/>
        <v>0.1</v>
      </c>
      <c r="AE33" s="202">
        <v>23</v>
      </c>
      <c r="AF33" s="211">
        <f t="shared" si="11"/>
        <v>3.7</v>
      </c>
      <c r="AG33" s="212">
        <f t="shared" si="12"/>
        <v>1.1100000000000001</v>
      </c>
      <c r="AH33" s="203">
        <v>32</v>
      </c>
      <c r="AI33" s="207">
        <v>34</v>
      </c>
      <c r="AJ33" s="203">
        <f>SUM(AH33+AI33)</f>
        <v>66</v>
      </c>
      <c r="AK33" s="209">
        <f>ROUND(AVERAGE(5-4*(AJ33)/(AJ9)),1)</f>
        <v>2.4</v>
      </c>
      <c r="AL33" s="212">
        <f t="shared" si="14"/>
        <v>0.36</v>
      </c>
      <c r="AM33" s="207">
        <v>32</v>
      </c>
      <c r="AN33" s="207">
        <v>30</v>
      </c>
      <c r="AO33" s="96">
        <f t="shared" si="15"/>
        <v>62</v>
      </c>
      <c r="AP33" s="209">
        <f>ROUND(AVERAGE(5-4*(AO33)/(AO9)),1)</f>
        <v>2.5</v>
      </c>
      <c r="AQ33" s="215">
        <f t="shared" si="16"/>
        <v>0.375</v>
      </c>
      <c r="AR33" s="207">
        <v>32</v>
      </c>
      <c r="AS33" s="207">
        <v>34</v>
      </c>
      <c r="AT33" s="96">
        <v>0</v>
      </c>
      <c r="AU33" s="213">
        <f>ROUND(AVERAGE(5-4*(AT33)/(AT9)),1)</f>
        <v>5</v>
      </c>
      <c r="AV33" s="214">
        <f t="shared" si="18"/>
        <v>0.75</v>
      </c>
      <c r="AW33" s="207">
        <v>85</v>
      </c>
      <c r="AX33" s="207">
        <v>87</v>
      </c>
      <c r="AY33" s="207">
        <v>90</v>
      </c>
      <c r="AZ33" s="93">
        <f t="shared" si="19"/>
        <v>262</v>
      </c>
      <c r="BA33" s="213">
        <f>ROUND(AVERAGE(5-4*(AZ33)/(AZ9)),1)</f>
        <v>1.5</v>
      </c>
      <c r="BB33" s="214">
        <f t="shared" si="20"/>
        <v>0.22499999999999998</v>
      </c>
      <c r="BC33" s="216">
        <v>24</v>
      </c>
      <c r="BD33" s="213">
        <f>5-(4*BC33/BC9)</f>
        <v>1.4444444444444446</v>
      </c>
      <c r="BE33" s="214">
        <f t="shared" si="21"/>
        <v>0.14444444444444446</v>
      </c>
      <c r="BF33" s="206">
        <v>34</v>
      </c>
      <c r="BG33" s="217">
        <f>ROUND(AVERAGE(5-4*(BF33)/(BF9)),1)</f>
        <v>3.1</v>
      </c>
      <c r="BH33" s="214">
        <f t="shared" si="22"/>
        <v>0.92999999999999994</v>
      </c>
      <c r="BI33" s="165">
        <f t="shared" si="23"/>
        <v>2.5900000000000003</v>
      </c>
      <c r="BJ33" s="216">
        <f t="shared" si="24"/>
        <v>2.7844444444444445</v>
      </c>
      <c r="BK33" s="216">
        <f t="shared" si="25"/>
        <v>2.6872222222222222</v>
      </c>
      <c r="BL33" s="81" t="s">
        <v>91</v>
      </c>
    </row>
    <row r="34" spans="1:64" s="20" customFormat="1" ht="15" customHeight="1" x14ac:dyDescent="0.3">
      <c r="A34" s="387">
        <v>24</v>
      </c>
      <c r="B34" s="328" t="s">
        <v>147</v>
      </c>
      <c r="C34" s="329" t="s">
        <v>148</v>
      </c>
      <c r="D34" s="330">
        <v>27</v>
      </c>
      <c r="E34" s="330">
        <v>9</v>
      </c>
      <c r="F34" s="331">
        <f t="shared" si="0"/>
        <v>36</v>
      </c>
      <c r="G34" s="332">
        <f>ROUND(AVERAGE(5-4*(F34)/(F9)),1)</f>
        <v>3.6</v>
      </c>
      <c r="H34" s="333">
        <f t="shared" si="26"/>
        <v>0.54</v>
      </c>
      <c r="I34" s="373">
        <v>30</v>
      </c>
      <c r="J34" s="374">
        <f t="shared" si="27"/>
        <v>1</v>
      </c>
      <c r="K34" s="335"/>
      <c r="L34" s="335"/>
      <c r="M34" s="336"/>
      <c r="N34" s="332">
        <f>ROUND(AVERAGE(5-4*(M34)/(M9)),1)</f>
        <v>5</v>
      </c>
      <c r="O34" s="337">
        <f t="shared" si="4"/>
        <v>0.75</v>
      </c>
      <c r="P34" s="375" t="e">
        <f>ROUND(5-4*#REF!/10,1)</f>
        <v>#REF!</v>
      </c>
      <c r="Q34" s="376"/>
      <c r="R34" s="330"/>
      <c r="S34" s="330"/>
      <c r="T34" s="331"/>
      <c r="U34" s="341">
        <f>ROUND(AVERAGE(5-4*(T34)/(T9)),1)</f>
        <v>5</v>
      </c>
      <c r="V34" s="337">
        <f>U34*0.15</f>
        <v>0.75</v>
      </c>
      <c r="W34" s="330">
        <v>75</v>
      </c>
      <c r="X34" s="339"/>
      <c r="Y34" s="340">
        <f t="shared" si="7"/>
        <v>75</v>
      </c>
      <c r="Z34" s="341">
        <f>ROUND(AVERAGE(5-4*(Y34)/(Y9)),1)</f>
        <v>3.5</v>
      </c>
      <c r="AA34" s="337">
        <f t="shared" si="8"/>
        <v>0.52500000000000002</v>
      </c>
      <c r="AB34" s="342">
        <v>24</v>
      </c>
      <c r="AC34" s="341">
        <f t="shared" si="9"/>
        <v>1.4444444444444446</v>
      </c>
      <c r="AD34" s="337">
        <f t="shared" si="10"/>
        <v>0.14444444444444446</v>
      </c>
      <c r="AE34" s="330">
        <v>13</v>
      </c>
      <c r="AF34" s="343">
        <f>ROUND(AVERAGE(5-4*(AE34)/(70)),1)</f>
        <v>4.3</v>
      </c>
      <c r="AG34" s="337">
        <f t="shared" si="12"/>
        <v>1.2899999999999998</v>
      </c>
      <c r="AH34" s="340">
        <v>32</v>
      </c>
      <c r="AI34" s="331"/>
      <c r="AJ34" s="340">
        <f t="shared" si="13"/>
        <v>32</v>
      </c>
      <c r="AK34" s="341">
        <f>ROUND(AVERAGE(5-4*(AJ34)/(AJ9)),1)</f>
        <v>3.7</v>
      </c>
      <c r="AL34" s="337">
        <f t="shared" si="14"/>
        <v>0.55500000000000005</v>
      </c>
      <c r="AM34" s="331"/>
      <c r="AN34" s="331"/>
      <c r="AO34" s="340"/>
      <c r="AP34" s="341">
        <f>ROUND(AVERAGE(5-4*(AO34)/(AO9)),1)</f>
        <v>5</v>
      </c>
      <c r="AQ34" s="344">
        <f t="shared" si="16"/>
        <v>0.75</v>
      </c>
      <c r="AR34" s="331"/>
      <c r="AS34" s="331"/>
      <c r="AT34" s="340"/>
      <c r="AU34" s="345">
        <f>ROUND(AVERAGE(5-4*(AT34)/(AT9)),1)</f>
        <v>5</v>
      </c>
      <c r="AV34" s="346">
        <f t="shared" si="18"/>
        <v>0.75</v>
      </c>
      <c r="AW34" s="331"/>
      <c r="AX34" s="331"/>
      <c r="AY34" s="331"/>
      <c r="AZ34" s="331"/>
      <c r="BA34" s="345">
        <f>ROUND(AVERAGE(5-4*(AZ34)/(AZ9)),1)</f>
        <v>5</v>
      </c>
      <c r="BB34" s="346">
        <f t="shared" si="20"/>
        <v>0.75</v>
      </c>
      <c r="BC34" s="336"/>
      <c r="BD34" s="345">
        <f>5-(4*BC34/BC9)</f>
        <v>5</v>
      </c>
      <c r="BE34" s="346">
        <f t="shared" si="21"/>
        <v>0.5</v>
      </c>
      <c r="BF34" s="336"/>
      <c r="BG34" s="349">
        <f>ROUND(AVERAGE(5-4*(BF34)/(BF9)),1)</f>
        <v>5</v>
      </c>
      <c r="BH34" s="347">
        <f t="shared" si="22"/>
        <v>1.5</v>
      </c>
      <c r="BI34" s="348" t="s">
        <v>93</v>
      </c>
      <c r="BJ34" s="348" t="s">
        <v>93</v>
      </c>
      <c r="BK34" s="348" t="s">
        <v>95</v>
      </c>
      <c r="BL34" s="350">
        <v>45992</v>
      </c>
    </row>
    <row r="35" spans="1:64" s="20" customFormat="1" ht="15" customHeight="1" x14ac:dyDescent="0.3">
      <c r="A35" s="63">
        <v>25</v>
      </c>
      <c r="B35" s="273" t="s">
        <v>149</v>
      </c>
      <c r="C35" s="237" t="s">
        <v>150</v>
      </c>
      <c r="D35" s="202">
        <v>8</v>
      </c>
      <c r="E35" s="202">
        <v>29</v>
      </c>
      <c r="F35" s="207">
        <f t="shared" si="0"/>
        <v>37</v>
      </c>
      <c r="G35" s="267">
        <f>ROUND(AVERAGE(5-4*(F35)/(F9)),1)</f>
        <v>3.5</v>
      </c>
      <c r="H35" s="251">
        <f t="shared" si="26"/>
        <v>0.52500000000000002</v>
      </c>
      <c r="I35" s="252">
        <v>30</v>
      </c>
      <c r="J35" s="253">
        <f t="shared" si="27"/>
        <v>1</v>
      </c>
      <c r="K35" s="205">
        <v>37</v>
      </c>
      <c r="L35" s="205">
        <v>30</v>
      </c>
      <c r="M35" s="206">
        <f t="shared" si="3"/>
        <v>67</v>
      </c>
      <c r="N35" s="267">
        <f>ROUND(AVERAGE(5-4*(M35)/(M9)),1)</f>
        <v>2.2999999999999998</v>
      </c>
      <c r="O35" s="212">
        <f t="shared" si="4"/>
        <v>0.34499999999999997</v>
      </c>
      <c r="P35" s="254" t="e">
        <f>ROUND(5-4*#REF!/10,1)</f>
        <v>#REF!</v>
      </c>
      <c r="Q35" s="255"/>
      <c r="R35" s="202">
        <v>28</v>
      </c>
      <c r="S35" s="202">
        <v>30</v>
      </c>
      <c r="T35" s="207">
        <f t="shared" si="5"/>
        <v>58</v>
      </c>
      <c r="U35" s="209">
        <f>ROUND(AVERAGE(5-4*(T35)/(T9)),1)</f>
        <v>2.7</v>
      </c>
      <c r="V35" s="212">
        <f t="shared" si="6"/>
        <v>0.40500000000000003</v>
      </c>
      <c r="W35" s="202">
        <v>88</v>
      </c>
      <c r="X35" s="208">
        <v>85</v>
      </c>
      <c r="Y35" s="203">
        <f t="shared" si="7"/>
        <v>173</v>
      </c>
      <c r="Z35" s="209">
        <f>ROUND(AVERAGE(5-4*(Y35)/(Y9)),1)</f>
        <v>1.5</v>
      </c>
      <c r="AA35" s="212">
        <f t="shared" si="8"/>
        <v>0.22499999999999998</v>
      </c>
      <c r="AB35" s="218">
        <v>27</v>
      </c>
      <c r="AC35" s="209">
        <f>5-(4*AB35/27)</f>
        <v>1</v>
      </c>
      <c r="AD35" s="212">
        <f t="shared" si="10"/>
        <v>0.1</v>
      </c>
      <c r="AE35" s="202">
        <v>28</v>
      </c>
      <c r="AF35" s="211">
        <f t="shared" si="11"/>
        <v>3.4</v>
      </c>
      <c r="AG35" s="212">
        <f t="shared" si="12"/>
        <v>1.02</v>
      </c>
      <c r="AH35" s="203">
        <v>31</v>
      </c>
      <c r="AI35" s="207">
        <v>29</v>
      </c>
      <c r="AJ35" s="203">
        <f t="shared" si="13"/>
        <v>60</v>
      </c>
      <c r="AK35" s="209">
        <f>ROUND(AVERAGE(5-4*(AJ35)/(AJ9)),1)</f>
        <v>2.6</v>
      </c>
      <c r="AL35" s="212">
        <f t="shared" si="14"/>
        <v>0.39</v>
      </c>
      <c r="AM35" s="207">
        <v>30</v>
      </c>
      <c r="AN35" s="207">
        <v>33</v>
      </c>
      <c r="AO35" s="96">
        <f t="shared" si="15"/>
        <v>63</v>
      </c>
      <c r="AP35" s="209">
        <f>ROUND(AVERAGE(5-4*(AO35)/(AO9)),1)</f>
        <v>2.5</v>
      </c>
      <c r="AQ35" s="215">
        <f t="shared" si="16"/>
        <v>0.375</v>
      </c>
      <c r="AR35" s="207">
        <v>35</v>
      </c>
      <c r="AS35" s="207">
        <v>37</v>
      </c>
      <c r="AT35" s="96">
        <f t="shared" si="17"/>
        <v>72</v>
      </c>
      <c r="AU35" s="213">
        <f>ROUND(AVERAGE(5-4*(AT35)/(AT9)),1)</f>
        <v>2.1</v>
      </c>
      <c r="AV35" s="214">
        <f t="shared" si="18"/>
        <v>0.315</v>
      </c>
      <c r="AW35" s="207">
        <v>80</v>
      </c>
      <c r="AX35" s="207">
        <v>82</v>
      </c>
      <c r="AY35" s="207">
        <v>87</v>
      </c>
      <c r="AZ35" s="93">
        <f t="shared" si="19"/>
        <v>249</v>
      </c>
      <c r="BA35" s="213">
        <f>ROUND(AVERAGE(5-4*(AZ35)/(AZ9)),1)</f>
        <v>1.7</v>
      </c>
      <c r="BB35" s="214">
        <f t="shared" si="20"/>
        <v>0.255</v>
      </c>
      <c r="BC35" s="216">
        <v>27</v>
      </c>
      <c r="BD35" s="213">
        <f>5-(4*BC35/BC9)</f>
        <v>1</v>
      </c>
      <c r="BE35" s="214">
        <f t="shared" si="21"/>
        <v>0.1</v>
      </c>
      <c r="BF35" s="206">
        <v>52</v>
      </c>
      <c r="BG35" s="217">
        <f>ROUND(AVERAGE(5-4*(BF35)/(BF9)),1)</f>
        <v>2</v>
      </c>
      <c r="BH35" s="242">
        <f t="shared" si="22"/>
        <v>0.6</v>
      </c>
      <c r="BI35" s="165">
        <f t="shared" si="23"/>
        <v>2.62</v>
      </c>
      <c r="BJ35" s="216">
        <f t="shared" si="24"/>
        <v>2.0350000000000001</v>
      </c>
      <c r="BK35" s="216">
        <f t="shared" si="25"/>
        <v>2.3275000000000001</v>
      </c>
      <c r="BL35" s="81" t="s">
        <v>91</v>
      </c>
    </row>
    <row r="36" spans="1:64" s="20" customFormat="1" ht="15" customHeight="1" x14ac:dyDescent="0.3">
      <c r="A36" s="63">
        <v>26</v>
      </c>
      <c r="B36" s="273" t="s">
        <v>151</v>
      </c>
      <c r="C36" s="237" t="s">
        <v>152</v>
      </c>
      <c r="D36" s="202">
        <v>36</v>
      </c>
      <c r="E36" s="202">
        <v>37</v>
      </c>
      <c r="F36" s="207">
        <f t="shared" si="0"/>
        <v>73</v>
      </c>
      <c r="G36" s="267">
        <f>ROUND(AVERAGE(5-4*(F36)/(F9)),1)</f>
        <v>2.1</v>
      </c>
      <c r="H36" s="251">
        <f t="shared" si="26"/>
        <v>0.315</v>
      </c>
      <c r="I36" s="252">
        <v>30</v>
      </c>
      <c r="J36" s="253">
        <f t="shared" si="27"/>
        <v>1</v>
      </c>
      <c r="K36" s="205">
        <v>38</v>
      </c>
      <c r="L36" s="205">
        <v>32</v>
      </c>
      <c r="M36" s="206">
        <f t="shared" si="3"/>
        <v>70</v>
      </c>
      <c r="N36" s="267">
        <f>ROUND(AVERAGE(5-4*(M36)/(M9)),1)</f>
        <v>2.2000000000000002</v>
      </c>
      <c r="O36" s="212">
        <f t="shared" si="4"/>
        <v>0.33</v>
      </c>
      <c r="P36" s="254" t="e">
        <f>ROUND(5-4*#REF!/10,1)</f>
        <v>#REF!</v>
      </c>
      <c r="Q36" s="255"/>
      <c r="R36" s="202">
        <v>48</v>
      </c>
      <c r="S36" s="202">
        <v>31</v>
      </c>
      <c r="T36" s="207">
        <f t="shared" si="5"/>
        <v>79</v>
      </c>
      <c r="U36" s="209">
        <f>ROUND(AVERAGE(5-4*(T36)/(T9)),1)</f>
        <v>1.8</v>
      </c>
      <c r="V36" s="212">
        <f t="shared" si="6"/>
        <v>0.27</v>
      </c>
      <c r="W36" s="202">
        <v>100</v>
      </c>
      <c r="X36" s="208">
        <v>85</v>
      </c>
      <c r="Y36" s="203">
        <f>SUM(W36+X36)</f>
        <v>185</v>
      </c>
      <c r="Z36" s="209">
        <f>ROUND(AVERAGE(5-4*(Y36)/(Y9)),1)</f>
        <v>1.3</v>
      </c>
      <c r="AA36" s="212">
        <f t="shared" si="8"/>
        <v>0.19500000000000001</v>
      </c>
      <c r="AB36" s="218">
        <v>24</v>
      </c>
      <c r="AC36" s="209">
        <f t="shared" si="9"/>
        <v>1.4444444444444446</v>
      </c>
      <c r="AD36" s="212">
        <f t="shared" si="10"/>
        <v>0.14444444444444446</v>
      </c>
      <c r="AE36" s="202">
        <v>33</v>
      </c>
      <c r="AF36" s="211">
        <f t="shared" si="11"/>
        <v>3.1</v>
      </c>
      <c r="AG36" s="212">
        <f t="shared" si="12"/>
        <v>0.92999999999999994</v>
      </c>
      <c r="AH36" s="203">
        <v>27</v>
      </c>
      <c r="AI36" s="207">
        <v>32</v>
      </c>
      <c r="AJ36" s="203">
        <f t="shared" si="13"/>
        <v>59</v>
      </c>
      <c r="AK36" s="209">
        <f>ROUND(AVERAGE(5-4*(AJ36)/(AJ9)),1)</f>
        <v>2.6</v>
      </c>
      <c r="AL36" s="212">
        <f t="shared" si="14"/>
        <v>0.39</v>
      </c>
      <c r="AM36" s="207">
        <v>30</v>
      </c>
      <c r="AN36" s="207">
        <v>35</v>
      </c>
      <c r="AO36" s="96">
        <f t="shared" si="15"/>
        <v>65</v>
      </c>
      <c r="AP36" s="209">
        <f>ROUND(AVERAGE(5-4*(AO36)/(AO9)),1)</f>
        <v>2.4</v>
      </c>
      <c r="AQ36" s="215">
        <f t="shared" si="16"/>
        <v>0.36</v>
      </c>
      <c r="AR36" s="207">
        <v>30</v>
      </c>
      <c r="AS36" s="207">
        <v>38</v>
      </c>
      <c r="AT36" s="96">
        <f t="shared" si="17"/>
        <v>68</v>
      </c>
      <c r="AU36" s="213">
        <f>ROUND(AVERAGE(5-4*(AT36)/(AT9)),1)</f>
        <v>2.2999999999999998</v>
      </c>
      <c r="AV36" s="214">
        <f t="shared" si="18"/>
        <v>0.34499999999999997</v>
      </c>
      <c r="AW36" s="207">
        <v>87</v>
      </c>
      <c r="AX36" s="207">
        <v>90</v>
      </c>
      <c r="AY36" s="207">
        <v>90</v>
      </c>
      <c r="AZ36" s="93">
        <f t="shared" si="19"/>
        <v>267</v>
      </c>
      <c r="BA36" s="213">
        <f>ROUND(AVERAGE(5-4*(AZ36)/(AZ9)),1)</f>
        <v>1.4</v>
      </c>
      <c r="BB36" s="214">
        <f t="shared" si="20"/>
        <v>0.21</v>
      </c>
      <c r="BC36" s="216">
        <v>27</v>
      </c>
      <c r="BD36" s="213">
        <f>5-(4*BC36/BC9)</f>
        <v>1</v>
      </c>
      <c r="BE36" s="214">
        <f t="shared" si="21"/>
        <v>0.1</v>
      </c>
      <c r="BF36" s="206">
        <v>36</v>
      </c>
      <c r="BG36" s="217">
        <f>ROUND(AVERAGE(5-4*(BF36)/(BF9)),1)</f>
        <v>2.9</v>
      </c>
      <c r="BH36" s="242">
        <f>BG36*0.3</f>
        <v>0.87</v>
      </c>
      <c r="BI36" s="165">
        <f t="shared" si="23"/>
        <v>2.1844444444444444</v>
      </c>
      <c r="BJ36" s="216">
        <f t="shared" si="24"/>
        <v>2.2749999999999999</v>
      </c>
      <c r="BK36" s="216">
        <f t="shared" si="25"/>
        <v>2.2297222222222222</v>
      </c>
      <c r="BL36" s="81" t="s">
        <v>91</v>
      </c>
    </row>
    <row r="37" spans="1:64" s="20" customFormat="1" ht="15" customHeight="1" x14ac:dyDescent="0.3">
      <c r="A37" s="199">
        <v>27</v>
      </c>
      <c r="B37" s="400" t="s">
        <v>153</v>
      </c>
      <c r="C37" s="401" t="s">
        <v>154</v>
      </c>
      <c r="D37" s="202">
        <v>33</v>
      </c>
      <c r="E37" s="202">
        <v>21</v>
      </c>
      <c r="F37" s="207">
        <f t="shared" si="0"/>
        <v>54</v>
      </c>
      <c r="G37" s="267">
        <f>ROUND(AVERAGE(5-4*(F37)/(F9)),1)</f>
        <v>2.8</v>
      </c>
      <c r="H37" s="251">
        <f t="shared" si="26"/>
        <v>0.42</v>
      </c>
      <c r="I37" s="252">
        <v>26</v>
      </c>
      <c r="J37" s="253">
        <f t="shared" si="27"/>
        <v>1.5</v>
      </c>
      <c r="K37" s="205">
        <v>28</v>
      </c>
      <c r="L37" s="205">
        <v>30</v>
      </c>
      <c r="M37" s="206">
        <f t="shared" si="3"/>
        <v>58</v>
      </c>
      <c r="N37" s="267">
        <f>ROUND(AVERAGE(5-4*(M37)/(M9)),1)</f>
        <v>2.7</v>
      </c>
      <c r="O37" s="212">
        <f t="shared" si="4"/>
        <v>0.40500000000000003</v>
      </c>
      <c r="P37" s="254" t="e">
        <f>ROUND(5-4*#REF!/10,1)</f>
        <v>#REF!</v>
      </c>
      <c r="Q37" s="255"/>
      <c r="R37" s="202">
        <v>30</v>
      </c>
      <c r="S37" s="202">
        <v>30</v>
      </c>
      <c r="T37" s="207">
        <f>SUM(R37+S37)</f>
        <v>60</v>
      </c>
      <c r="U37" s="209">
        <f>ROUND(AVERAGE(5-4*(T37)/(T9)),1)</f>
        <v>2.6</v>
      </c>
      <c r="V37" s="212">
        <f t="shared" si="6"/>
        <v>0.39</v>
      </c>
      <c r="W37" s="202">
        <v>70</v>
      </c>
      <c r="X37" s="208">
        <v>80</v>
      </c>
      <c r="Y37" s="203">
        <f t="shared" si="7"/>
        <v>150</v>
      </c>
      <c r="Z37" s="209">
        <f>ROUND(AVERAGE(5-4*(Y37)/(Y9)),1)</f>
        <v>2</v>
      </c>
      <c r="AA37" s="212">
        <f t="shared" si="8"/>
        <v>0.3</v>
      </c>
      <c r="AB37" s="218">
        <v>27</v>
      </c>
      <c r="AC37" s="209">
        <f t="shared" si="9"/>
        <v>1</v>
      </c>
      <c r="AD37" s="212">
        <f t="shared" si="10"/>
        <v>0.1</v>
      </c>
      <c r="AE37" s="202">
        <v>22</v>
      </c>
      <c r="AF37" s="211">
        <f t="shared" si="11"/>
        <v>3.7</v>
      </c>
      <c r="AG37" s="212">
        <f t="shared" si="12"/>
        <v>1.1100000000000001</v>
      </c>
      <c r="AH37" s="203">
        <v>22</v>
      </c>
      <c r="AI37" s="207">
        <v>19</v>
      </c>
      <c r="AJ37" s="203">
        <f t="shared" si="13"/>
        <v>41</v>
      </c>
      <c r="AK37" s="209">
        <f>ROUND(AVERAGE(5-4*(AJ37)/(AJ9)),1)</f>
        <v>3.4</v>
      </c>
      <c r="AL37" s="212">
        <f t="shared" si="14"/>
        <v>0.51</v>
      </c>
      <c r="AM37" s="207">
        <v>30</v>
      </c>
      <c r="AN37" s="207">
        <v>30</v>
      </c>
      <c r="AO37" s="203">
        <f t="shared" si="15"/>
        <v>60</v>
      </c>
      <c r="AP37" s="209">
        <f>ROUND(AVERAGE(5-4*(AO37)/(AO9)),1)</f>
        <v>2.6</v>
      </c>
      <c r="AQ37" s="215">
        <f t="shared" si="16"/>
        <v>0.39</v>
      </c>
      <c r="AR37" s="207">
        <v>30</v>
      </c>
      <c r="AS37" s="207">
        <v>28</v>
      </c>
      <c r="AT37" s="203">
        <f t="shared" si="17"/>
        <v>58</v>
      </c>
      <c r="AU37" s="213">
        <f>ROUND(AVERAGE(5-4*(AT37)/(AT9)),1)</f>
        <v>2.7</v>
      </c>
      <c r="AV37" s="214">
        <f t="shared" si="18"/>
        <v>0.40500000000000003</v>
      </c>
      <c r="AW37" s="207">
        <v>80</v>
      </c>
      <c r="AX37" s="207">
        <v>80</v>
      </c>
      <c r="AY37" s="207">
        <v>80</v>
      </c>
      <c r="AZ37" s="207">
        <f t="shared" si="19"/>
        <v>240</v>
      </c>
      <c r="BA37" s="213">
        <f>ROUND(AVERAGE(5-4*(AZ37)/(AZ9)),1)</f>
        <v>1.8</v>
      </c>
      <c r="BB37" s="214">
        <f t="shared" si="20"/>
        <v>0.27</v>
      </c>
      <c r="BC37" s="216">
        <v>21</v>
      </c>
      <c r="BD37" s="213">
        <f>5-(4*BC37/BC9)</f>
        <v>1.8888888888888888</v>
      </c>
      <c r="BE37" s="214">
        <f t="shared" si="21"/>
        <v>0.18888888888888888</v>
      </c>
      <c r="BF37" s="206">
        <v>34</v>
      </c>
      <c r="BG37" s="243">
        <f>ROUND(AVERAGE(5-4*(BF37)/(BF9)),1)</f>
        <v>3.1</v>
      </c>
      <c r="BH37" s="242">
        <f t="shared" si="22"/>
        <v>0.92999999999999994</v>
      </c>
      <c r="BI37" s="216">
        <f t="shared" si="23"/>
        <v>2.7250000000000001</v>
      </c>
      <c r="BJ37" s="216">
        <f t="shared" si="24"/>
        <v>2.693888888888889</v>
      </c>
      <c r="BK37" s="216">
        <f t="shared" si="25"/>
        <v>2.7094444444444443</v>
      </c>
      <c r="BL37" s="206" t="s">
        <v>91</v>
      </c>
    </row>
    <row r="38" spans="1:64" s="20" customFormat="1" ht="15" customHeight="1" x14ac:dyDescent="0.3">
      <c r="A38" s="63">
        <v>28</v>
      </c>
      <c r="B38" s="273" t="s">
        <v>155</v>
      </c>
      <c r="C38" s="237" t="s">
        <v>156</v>
      </c>
      <c r="D38" s="202">
        <v>34</v>
      </c>
      <c r="E38" s="202">
        <v>10</v>
      </c>
      <c r="F38" s="207">
        <f t="shared" si="0"/>
        <v>44</v>
      </c>
      <c r="G38" s="267">
        <f>ROUND(AVERAGE(5-4*(F38)/(F9)),1)</f>
        <v>3.2</v>
      </c>
      <c r="H38" s="251">
        <f t="shared" si="26"/>
        <v>0.48</v>
      </c>
      <c r="I38" s="252">
        <v>25</v>
      </c>
      <c r="J38" s="253">
        <f t="shared" si="27"/>
        <v>1.7</v>
      </c>
      <c r="K38" s="205">
        <v>30</v>
      </c>
      <c r="L38" s="205">
        <v>32</v>
      </c>
      <c r="M38" s="206">
        <f t="shared" si="3"/>
        <v>62</v>
      </c>
      <c r="N38" s="267">
        <f>ROUND(AVERAGE(5-4*(M38)/(M9)),1)</f>
        <v>2.5</v>
      </c>
      <c r="O38" s="212">
        <f t="shared" si="4"/>
        <v>0.375</v>
      </c>
      <c r="P38" s="254" t="e">
        <f>ROUND(5-4*#REF!/10,1)</f>
        <v>#REF!</v>
      </c>
      <c r="Q38" s="255"/>
      <c r="R38" s="202">
        <v>32</v>
      </c>
      <c r="S38" s="202">
        <v>28</v>
      </c>
      <c r="T38" s="207">
        <f t="shared" si="5"/>
        <v>60</v>
      </c>
      <c r="U38" s="209">
        <f>ROUND(AVERAGE(5-4*(T38)/(T9)),1)</f>
        <v>2.6</v>
      </c>
      <c r="V38" s="212">
        <f t="shared" si="6"/>
        <v>0.39</v>
      </c>
      <c r="W38" s="202">
        <v>70</v>
      </c>
      <c r="X38" s="208">
        <v>80</v>
      </c>
      <c r="Y38" s="203">
        <f t="shared" si="7"/>
        <v>150</v>
      </c>
      <c r="Z38" s="209">
        <f>ROUND(AVERAGE(5-4*(Y38)/(Y9)),1)</f>
        <v>2</v>
      </c>
      <c r="AA38" s="212">
        <f t="shared" si="8"/>
        <v>0.3</v>
      </c>
      <c r="AB38" s="218">
        <v>22.5</v>
      </c>
      <c r="AC38" s="209">
        <f t="shared" si="9"/>
        <v>1.6666666666666665</v>
      </c>
      <c r="AD38" s="212">
        <f t="shared" si="10"/>
        <v>0.16666666666666666</v>
      </c>
      <c r="AE38" s="202">
        <v>22</v>
      </c>
      <c r="AF38" s="211">
        <f t="shared" si="11"/>
        <v>3.7</v>
      </c>
      <c r="AG38" s="212">
        <f t="shared" si="12"/>
        <v>1.1100000000000001</v>
      </c>
      <c r="AH38" s="203">
        <v>30</v>
      </c>
      <c r="AI38" s="207">
        <v>12</v>
      </c>
      <c r="AJ38" s="203">
        <f t="shared" si="13"/>
        <v>42</v>
      </c>
      <c r="AK38" s="209">
        <f>ROUND(AVERAGE(5-4*(AJ38)/(AJ9)),1)</f>
        <v>3.3</v>
      </c>
      <c r="AL38" s="212">
        <f t="shared" si="14"/>
        <v>0.49499999999999994</v>
      </c>
      <c r="AM38" s="207">
        <v>30</v>
      </c>
      <c r="AN38" s="207">
        <v>30</v>
      </c>
      <c r="AO38" s="96">
        <f t="shared" si="15"/>
        <v>60</v>
      </c>
      <c r="AP38" s="209">
        <f>ROUND(AVERAGE(5-4*(AO38)/(AO9)),1)</f>
        <v>2.6</v>
      </c>
      <c r="AQ38" s="215">
        <f t="shared" si="16"/>
        <v>0.39</v>
      </c>
      <c r="AR38" s="207">
        <v>30</v>
      </c>
      <c r="AS38" s="207">
        <v>30</v>
      </c>
      <c r="AT38" s="96">
        <f t="shared" si="17"/>
        <v>60</v>
      </c>
      <c r="AU38" s="213">
        <f>ROUND(AVERAGE(5-4*(AT38)/(AT9)),1)</f>
        <v>2.6</v>
      </c>
      <c r="AV38" s="214">
        <f>AU38*0.15</f>
        <v>0.39</v>
      </c>
      <c r="AW38" s="207">
        <v>80</v>
      </c>
      <c r="AX38" s="207">
        <v>80</v>
      </c>
      <c r="AY38" s="207">
        <v>85</v>
      </c>
      <c r="AZ38" s="93">
        <f t="shared" si="19"/>
        <v>245</v>
      </c>
      <c r="BA38" s="213">
        <f>ROUND(AVERAGE(5-4*(AZ38)/(AZ9)),1)</f>
        <v>1.7</v>
      </c>
      <c r="BB38" s="214">
        <f t="shared" si="20"/>
        <v>0.255</v>
      </c>
      <c r="BC38" s="216">
        <v>21</v>
      </c>
      <c r="BD38" s="213">
        <f>5-(4*BC38/BC9)</f>
        <v>1.8888888888888888</v>
      </c>
      <c r="BE38" s="214">
        <f t="shared" si="21"/>
        <v>0.18888888888888888</v>
      </c>
      <c r="BF38" s="206">
        <v>34</v>
      </c>
      <c r="BG38" s="217">
        <f>ROUND(AVERAGE(5-4*(BF38)/(BF9)),1)</f>
        <v>3.1</v>
      </c>
      <c r="BH38" s="214">
        <f t="shared" si="22"/>
        <v>0.92999999999999994</v>
      </c>
      <c r="BI38" s="165">
        <f t="shared" si="23"/>
        <v>2.8216666666666672</v>
      </c>
      <c r="BJ38" s="216">
        <f t="shared" si="24"/>
        <v>2.6488888888888886</v>
      </c>
      <c r="BK38" s="216">
        <f t="shared" si="25"/>
        <v>2.7352777777777781</v>
      </c>
      <c r="BL38" s="81" t="s">
        <v>91</v>
      </c>
    </row>
    <row r="39" spans="1:64" s="20" customFormat="1" ht="15" customHeight="1" x14ac:dyDescent="0.3">
      <c r="A39" s="63">
        <v>29</v>
      </c>
      <c r="B39" s="273" t="s">
        <v>157</v>
      </c>
      <c r="C39" s="237" t="s">
        <v>158</v>
      </c>
      <c r="D39" s="86">
        <v>29</v>
      </c>
      <c r="E39" s="86">
        <v>16</v>
      </c>
      <c r="F39" s="93">
        <f t="shared" si="0"/>
        <v>45</v>
      </c>
      <c r="G39" s="266">
        <f>ROUND(AVERAGE(5-4*(F39)/(F9)),1)</f>
        <v>3.2</v>
      </c>
      <c r="H39" s="245">
        <f t="shared" si="26"/>
        <v>0.48</v>
      </c>
      <c r="I39" s="246">
        <v>26</v>
      </c>
      <c r="J39" s="247">
        <f t="shared" si="27"/>
        <v>1.5</v>
      </c>
      <c r="K39" s="78">
        <v>34</v>
      </c>
      <c r="L39" s="78">
        <v>28</v>
      </c>
      <c r="M39" s="81">
        <f t="shared" si="3"/>
        <v>62</v>
      </c>
      <c r="N39" s="266">
        <f>ROUND(AVERAGE(5-4*(M39)/(M9)),1)</f>
        <v>2.5</v>
      </c>
      <c r="O39" s="108">
        <f t="shared" si="4"/>
        <v>0.375</v>
      </c>
      <c r="P39" s="248" t="e">
        <f>ROUND(5-4*#REF!/10,1)</f>
        <v>#REF!</v>
      </c>
      <c r="Q39" s="249"/>
      <c r="R39" s="86">
        <v>34</v>
      </c>
      <c r="S39" s="86">
        <v>28</v>
      </c>
      <c r="T39" s="93">
        <f t="shared" si="5"/>
        <v>62</v>
      </c>
      <c r="U39" s="106">
        <f>ROUND(AVERAGE(5-4*(T39)/(T9)),1)</f>
        <v>2.5</v>
      </c>
      <c r="V39" s="108">
        <f t="shared" si="6"/>
        <v>0.375</v>
      </c>
      <c r="W39" s="86">
        <v>97</v>
      </c>
      <c r="X39" s="95">
        <v>87</v>
      </c>
      <c r="Y39" s="96">
        <f t="shared" si="7"/>
        <v>184</v>
      </c>
      <c r="Z39" s="106">
        <f>ROUND(AVERAGE(5-4*(Y39)/(Y9)),1)</f>
        <v>1.3</v>
      </c>
      <c r="AA39" s="108">
        <f t="shared" si="8"/>
        <v>0.19500000000000001</v>
      </c>
      <c r="AB39" s="98">
        <v>27</v>
      </c>
      <c r="AC39" s="106">
        <f t="shared" si="9"/>
        <v>1</v>
      </c>
      <c r="AD39" s="108">
        <f t="shared" si="10"/>
        <v>0.1</v>
      </c>
      <c r="AE39" s="86">
        <v>23</v>
      </c>
      <c r="AF39" s="107">
        <f t="shared" si="11"/>
        <v>3.7</v>
      </c>
      <c r="AG39" s="108">
        <f t="shared" si="12"/>
        <v>1.1100000000000001</v>
      </c>
      <c r="AH39" s="96">
        <v>31</v>
      </c>
      <c r="AI39" s="93">
        <v>33</v>
      </c>
      <c r="AJ39" s="96">
        <f t="shared" si="13"/>
        <v>64</v>
      </c>
      <c r="AK39" s="106">
        <f>ROUND(AVERAGE(5-4*(AJ39)/(AJ9)),1)</f>
        <v>2.4</v>
      </c>
      <c r="AL39" s="108">
        <f t="shared" si="14"/>
        <v>0.36</v>
      </c>
      <c r="AM39" s="93">
        <v>34</v>
      </c>
      <c r="AN39" s="93">
        <v>35</v>
      </c>
      <c r="AO39" s="96">
        <f t="shared" si="15"/>
        <v>69</v>
      </c>
      <c r="AP39" s="106">
        <f>ROUND(AVERAGE(5-4*(AO39)/(AO9)),1)</f>
        <v>2.2000000000000002</v>
      </c>
      <c r="AQ39" s="158">
        <f t="shared" si="16"/>
        <v>0.33</v>
      </c>
      <c r="AR39" s="93">
        <v>30</v>
      </c>
      <c r="AS39" s="93">
        <v>37</v>
      </c>
      <c r="AT39" s="96">
        <f t="shared" si="17"/>
        <v>67</v>
      </c>
      <c r="AU39" s="148">
        <f>ROUND(AVERAGE(5-4*(AT39)/(AT9)),1)</f>
        <v>2.2999999999999998</v>
      </c>
      <c r="AV39" s="149">
        <f t="shared" si="18"/>
        <v>0.34499999999999997</v>
      </c>
      <c r="AW39" s="93">
        <v>90</v>
      </c>
      <c r="AX39" s="93">
        <v>90</v>
      </c>
      <c r="AY39" s="93">
        <v>80</v>
      </c>
      <c r="AZ39" s="93">
        <f t="shared" si="19"/>
        <v>260</v>
      </c>
      <c r="BA39" s="148">
        <f>ROUND(AVERAGE(5-4*(AZ39)/(AZ9)),1)</f>
        <v>1.5</v>
      </c>
      <c r="BB39" s="149">
        <f>BA39*0.15</f>
        <v>0.22499999999999998</v>
      </c>
      <c r="BC39" s="165">
        <v>24</v>
      </c>
      <c r="BD39" s="148">
        <f>5-(4*BC39/BC9)</f>
        <v>1.4444444444444446</v>
      </c>
      <c r="BE39" s="149">
        <f t="shared" si="21"/>
        <v>0.14444444444444446</v>
      </c>
      <c r="BF39" s="81">
        <v>45</v>
      </c>
      <c r="BG39" s="156">
        <f>ROUND(AVERAGE(5-4*(BF39)/(BF9)),1)</f>
        <v>2.4</v>
      </c>
      <c r="BH39" s="151">
        <f t="shared" si="22"/>
        <v>0.72</v>
      </c>
      <c r="BI39" s="165">
        <f t="shared" si="23"/>
        <v>2.6350000000000002</v>
      </c>
      <c r="BJ39" s="165">
        <f>AL39+AQ39+AV39+BB39+BE39+BH39</f>
        <v>2.1244444444444444</v>
      </c>
      <c r="BK39" s="165">
        <v>2.2999999999999998</v>
      </c>
      <c r="BL39" s="81" t="s">
        <v>91</v>
      </c>
    </row>
    <row r="40" spans="1:64" s="20" customFormat="1" ht="15" customHeight="1" x14ac:dyDescent="0.3">
      <c r="A40" s="63">
        <v>30</v>
      </c>
      <c r="B40" s="273" t="s">
        <v>159</v>
      </c>
      <c r="C40" s="237" t="s">
        <v>160</v>
      </c>
      <c r="D40" s="86">
        <v>39</v>
      </c>
      <c r="E40" s="86">
        <v>21</v>
      </c>
      <c r="F40" s="93">
        <f t="shared" si="0"/>
        <v>60</v>
      </c>
      <c r="G40" s="266">
        <f>ROUND(AVERAGE(5-4*(F40)/(F9)),1)</f>
        <v>2.6</v>
      </c>
      <c r="H40" s="245">
        <f t="shared" si="26"/>
        <v>0.39</v>
      </c>
      <c r="I40" s="246">
        <v>25</v>
      </c>
      <c r="J40" s="247">
        <f t="shared" si="27"/>
        <v>1.7</v>
      </c>
      <c r="K40" s="78">
        <v>30</v>
      </c>
      <c r="L40" s="78">
        <v>28</v>
      </c>
      <c r="M40" s="81">
        <f t="shared" si="3"/>
        <v>58</v>
      </c>
      <c r="N40" s="266">
        <f>ROUND(AVERAGE(5-4*(M40)/(M9)),1)</f>
        <v>2.7</v>
      </c>
      <c r="O40" s="108">
        <f t="shared" si="4"/>
        <v>0.40500000000000003</v>
      </c>
      <c r="P40" s="248" t="e">
        <f>ROUND(5-4*#REF!/10,1)</f>
        <v>#REF!</v>
      </c>
      <c r="Q40" s="249"/>
      <c r="R40" s="86">
        <v>31</v>
      </c>
      <c r="S40" s="86">
        <v>30</v>
      </c>
      <c r="T40" s="93">
        <f t="shared" si="5"/>
        <v>61</v>
      </c>
      <c r="U40" s="106">
        <f>ROUND(AVERAGE(5-4*(T40)/(T9)),1)</f>
        <v>2.6</v>
      </c>
      <c r="V40" s="108">
        <f t="shared" si="6"/>
        <v>0.39</v>
      </c>
      <c r="W40" s="86">
        <v>85</v>
      </c>
      <c r="X40" s="95">
        <v>80</v>
      </c>
      <c r="Y40" s="96">
        <f t="shared" si="7"/>
        <v>165</v>
      </c>
      <c r="Z40" s="106">
        <f>ROUND(AVERAGE(5-4*(Y40)/(Y9)),1)</f>
        <v>1.7</v>
      </c>
      <c r="AA40" s="108">
        <f t="shared" si="8"/>
        <v>0.255</v>
      </c>
      <c r="AB40" s="98">
        <v>27</v>
      </c>
      <c r="AC40" s="106">
        <f t="shared" si="9"/>
        <v>1</v>
      </c>
      <c r="AD40" s="108">
        <f t="shared" si="10"/>
        <v>0.1</v>
      </c>
      <c r="AE40" s="86">
        <v>32</v>
      </c>
      <c r="AF40" s="107">
        <f t="shared" si="11"/>
        <v>3.2</v>
      </c>
      <c r="AG40" s="108">
        <f t="shared" si="12"/>
        <v>0.96</v>
      </c>
      <c r="AH40" s="96">
        <v>32</v>
      </c>
      <c r="AI40" s="93">
        <v>34</v>
      </c>
      <c r="AJ40" s="96">
        <f t="shared" si="13"/>
        <v>66</v>
      </c>
      <c r="AK40" s="106">
        <f>ROUND(AVERAGE(5-4*(AJ40)/(AJ9)),1)</f>
        <v>2.4</v>
      </c>
      <c r="AL40" s="108">
        <f>AK40*0.15</f>
        <v>0.36</v>
      </c>
      <c r="AM40" s="93">
        <v>30</v>
      </c>
      <c r="AN40" s="93">
        <v>31</v>
      </c>
      <c r="AO40" s="96">
        <f t="shared" si="15"/>
        <v>61</v>
      </c>
      <c r="AP40" s="106">
        <f>ROUND(AVERAGE(5-4*(AO40)/(AO9)),1)</f>
        <v>2.6</v>
      </c>
      <c r="AQ40" s="158">
        <f t="shared" si="16"/>
        <v>0.39</v>
      </c>
      <c r="AR40" s="93">
        <v>30</v>
      </c>
      <c r="AS40" s="93">
        <v>30</v>
      </c>
      <c r="AT40" s="96">
        <f t="shared" si="17"/>
        <v>60</v>
      </c>
      <c r="AU40" s="148">
        <f>ROUND(AVERAGE(5-4*(AT40)/(AT9)),1)</f>
        <v>2.6</v>
      </c>
      <c r="AV40" s="149">
        <f t="shared" si="18"/>
        <v>0.39</v>
      </c>
      <c r="AW40" s="93">
        <v>80</v>
      </c>
      <c r="AX40" s="93">
        <v>80</v>
      </c>
      <c r="AY40" s="93">
        <v>90</v>
      </c>
      <c r="AZ40" s="93">
        <f t="shared" si="19"/>
        <v>250</v>
      </c>
      <c r="BA40" s="148">
        <f>ROUND(AVERAGE(5-4*(AZ40)/(AZ9)),1)</f>
        <v>1.7</v>
      </c>
      <c r="BB40" s="149">
        <f t="shared" si="20"/>
        <v>0.255</v>
      </c>
      <c r="BC40" s="165">
        <v>27</v>
      </c>
      <c r="BD40" s="148">
        <f>5-(4*BC40/BC9)</f>
        <v>1</v>
      </c>
      <c r="BE40" s="149">
        <f t="shared" si="21"/>
        <v>0.1</v>
      </c>
      <c r="BF40" s="81">
        <v>39</v>
      </c>
      <c r="BG40" s="156">
        <f>ROUND(AVERAGE(5-4*(BF40)/(BF9)),1)</f>
        <v>2.8</v>
      </c>
      <c r="BH40" s="151">
        <f t="shared" si="22"/>
        <v>0.84</v>
      </c>
      <c r="BI40" s="165">
        <f t="shared" si="23"/>
        <v>2.5</v>
      </c>
      <c r="BJ40" s="165">
        <f t="shared" si="24"/>
        <v>2.335</v>
      </c>
      <c r="BK40" s="165">
        <f t="shared" si="25"/>
        <v>2.4175</v>
      </c>
      <c r="BL40" s="81" t="s">
        <v>91</v>
      </c>
    </row>
    <row r="41" spans="1:64" s="20" customFormat="1" ht="15" customHeight="1" x14ac:dyDescent="0.3">
      <c r="A41" s="63">
        <v>31</v>
      </c>
      <c r="B41" s="273" t="s">
        <v>161</v>
      </c>
      <c r="C41" s="237" t="s">
        <v>162</v>
      </c>
      <c r="D41" s="86">
        <v>8</v>
      </c>
      <c r="E41" s="86">
        <v>18</v>
      </c>
      <c r="F41" s="93">
        <f t="shared" si="0"/>
        <v>26</v>
      </c>
      <c r="G41" s="266">
        <f>ROUND(AVERAGE(5-4*(F41)/(F9)),1)</f>
        <v>4</v>
      </c>
      <c r="H41" s="245">
        <f t="shared" si="26"/>
        <v>0.6</v>
      </c>
      <c r="I41" s="246">
        <v>25</v>
      </c>
      <c r="J41" s="247">
        <f t="shared" si="27"/>
        <v>1.7</v>
      </c>
      <c r="K41" s="78">
        <v>36</v>
      </c>
      <c r="L41" s="78">
        <v>30</v>
      </c>
      <c r="M41" s="81">
        <f t="shared" si="3"/>
        <v>66</v>
      </c>
      <c r="N41" s="266">
        <f>ROUND(AVERAGE(5-4*(M41)/(M9)),1)</f>
        <v>2.4</v>
      </c>
      <c r="O41" s="108">
        <f t="shared" si="4"/>
        <v>0.36</v>
      </c>
      <c r="P41" s="248" t="e">
        <f>ROUND(5-4*#REF!/10,1)</f>
        <v>#REF!</v>
      </c>
      <c r="Q41" s="249"/>
      <c r="R41" s="86">
        <v>41</v>
      </c>
      <c r="S41" s="86">
        <v>32</v>
      </c>
      <c r="T41" s="93">
        <f t="shared" si="5"/>
        <v>73</v>
      </c>
      <c r="U41" s="106">
        <f>ROUND(AVERAGE(5-4*(T41)/(T9)),1)</f>
        <v>2.1</v>
      </c>
      <c r="V41" s="108">
        <f t="shared" si="6"/>
        <v>0.315</v>
      </c>
      <c r="W41" s="86">
        <v>80</v>
      </c>
      <c r="X41" s="95">
        <v>80</v>
      </c>
      <c r="Y41" s="96">
        <f t="shared" si="7"/>
        <v>160</v>
      </c>
      <c r="Z41" s="106">
        <f>ROUND(AVERAGE(5-4*(Y41)/(Y9)),1)</f>
        <v>1.8</v>
      </c>
      <c r="AA41" s="108">
        <f t="shared" si="8"/>
        <v>0.27</v>
      </c>
      <c r="AB41" s="98">
        <v>27</v>
      </c>
      <c r="AC41" s="106">
        <f t="shared" si="9"/>
        <v>1</v>
      </c>
      <c r="AD41" s="108">
        <f t="shared" si="10"/>
        <v>0.1</v>
      </c>
      <c r="AE41" s="86">
        <v>20</v>
      </c>
      <c r="AF41" s="107">
        <f t="shared" si="11"/>
        <v>3.9</v>
      </c>
      <c r="AG41" s="108">
        <f t="shared" si="12"/>
        <v>1.17</v>
      </c>
      <c r="AH41" s="96">
        <v>21</v>
      </c>
      <c r="AI41" s="93">
        <v>20</v>
      </c>
      <c r="AJ41" s="96">
        <f t="shared" si="13"/>
        <v>41</v>
      </c>
      <c r="AK41" s="106">
        <f>ROUND(AVERAGE(5-4*(AJ41)/(AJ9)),1)</f>
        <v>3.4</v>
      </c>
      <c r="AL41" s="108">
        <f t="shared" si="14"/>
        <v>0.51</v>
      </c>
      <c r="AM41" s="93">
        <v>28</v>
      </c>
      <c r="AN41" s="93">
        <v>30</v>
      </c>
      <c r="AO41" s="96">
        <f t="shared" si="15"/>
        <v>58</v>
      </c>
      <c r="AP41" s="106">
        <f>ROUND(AVERAGE(5-4*(AO41)/(AO9)),1)</f>
        <v>2.7</v>
      </c>
      <c r="AQ41" s="158">
        <f t="shared" si="16"/>
        <v>0.40500000000000003</v>
      </c>
      <c r="AR41" s="93">
        <v>30</v>
      </c>
      <c r="AS41" s="93">
        <v>35</v>
      </c>
      <c r="AT41" s="96">
        <f t="shared" si="17"/>
        <v>65</v>
      </c>
      <c r="AU41" s="148">
        <f>ROUND(AVERAGE(5-4*(AT41)/(AT9)),1)</f>
        <v>2.4</v>
      </c>
      <c r="AV41" s="149">
        <f t="shared" si="18"/>
        <v>0.36</v>
      </c>
      <c r="AW41" s="93">
        <v>85</v>
      </c>
      <c r="AX41" s="93">
        <v>85</v>
      </c>
      <c r="AY41" s="93">
        <v>90</v>
      </c>
      <c r="AZ41" s="93">
        <f t="shared" si="19"/>
        <v>260</v>
      </c>
      <c r="BA41" s="148">
        <f>ROUND(AVERAGE(5-4*(AZ41)/(AZ9)),1)</f>
        <v>1.5</v>
      </c>
      <c r="BB41" s="149">
        <f t="shared" si="20"/>
        <v>0.22499999999999998</v>
      </c>
      <c r="BC41" s="165">
        <v>27</v>
      </c>
      <c r="BD41" s="148">
        <f>5-(4*BC41/BC9)</f>
        <v>1</v>
      </c>
      <c r="BE41" s="149">
        <f t="shared" si="21"/>
        <v>0.1</v>
      </c>
      <c r="BF41" s="81">
        <v>34</v>
      </c>
      <c r="BG41" s="156">
        <f>ROUND(AVERAGE(5-4*(BF41)/(BF9)),1)</f>
        <v>3.1</v>
      </c>
      <c r="BH41" s="151">
        <f t="shared" si="22"/>
        <v>0.92999999999999994</v>
      </c>
      <c r="BI41" s="165">
        <f t="shared" si="23"/>
        <v>2.8149999999999999</v>
      </c>
      <c r="BJ41" s="165">
        <f t="shared" si="24"/>
        <v>2.5300000000000002</v>
      </c>
      <c r="BK41" s="165">
        <v>2.6</v>
      </c>
      <c r="BL41" s="81" t="s">
        <v>91</v>
      </c>
    </row>
    <row r="42" spans="1:64" s="20" customFormat="1" ht="15" customHeight="1" x14ac:dyDescent="0.3">
      <c r="A42" s="199">
        <v>32</v>
      </c>
      <c r="B42" s="400" t="s">
        <v>163</v>
      </c>
      <c r="C42" s="401" t="s">
        <v>164</v>
      </c>
      <c r="D42" s="202">
        <v>8</v>
      </c>
      <c r="E42" s="202">
        <v>9</v>
      </c>
      <c r="F42" s="207">
        <f t="shared" si="0"/>
        <v>17</v>
      </c>
      <c r="G42" s="267">
        <f>ROUND(AVERAGE(5-4*(F42)/(F9)),1)</f>
        <v>4.3</v>
      </c>
      <c r="H42" s="251">
        <f t="shared" si="26"/>
        <v>0.64499999999999991</v>
      </c>
      <c r="I42" s="402">
        <v>28</v>
      </c>
      <c r="J42" s="253">
        <f t="shared" si="27"/>
        <v>1.3</v>
      </c>
      <c r="K42" s="205">
        <v>30</v>
      </c>
      <c r="L42" s="205">
        <v>30</v>
      </c>
      <c r="M42" s="206">
        <f t="shared" si="3"/>
        <v>60</v>
      </c>
      <c r="N42" s="267">
        <f>ROUND(AVERAGE(5-4*(M42)/(M9)),1)</f>
        <v>2.6</v>
      </c>
      <c r="O42" s="212">
        <f t="shared" si="4"/>
        <v>0.39</v>
      </c>
      <c r="P42" s="254" t="e">
        <f>ROUND(5-4*#REF!/10,1)</f>
        <v>#REF!</v>
      </c>
      <c r="Q42" s="403"/>
      <c r="R42" s="202">
        <v>28</v>
      </c>
      <c r="S42" s="202">
        <v>30</v>
      </c>
      <c r="T42" s="207">
        <f t="shared" si="5"/>
        <v>58</v>
      </c>
      <c r="U42" s="209">
        <f>ROUND(AVERAGE(5-4*(T42)/(T9)),1)</f>
        <v>2.7</v>
      </c>
      <c r="V42" s="212">
        <f t="shared" si="6"/>
        <v>0.40500000000000003</v>
      </c>
      <c r="W42" s="202">
        <v>75</v>
      </c>
      <c r="X42" s="208">
        <v>80</v>
      </c>
      <c r="Y42" s="203">
        <f t="shared" si="7"/>
        <v>155</v>
      </c>
      <c r="Z42" s="209">
        <f>ROUND(AVERAGE(5-4*(Y42)/(Y9)),1)</f>
        <v>1.9</v>
      </c>
      <c r="AA42" s="212">
        <f t="shared" si="8"/>
        <v>0.28499999999999998</v>
      </c>
      <c r="AB42" s="218">
        <v>22</v>
      </c>
      <c r="AC42" s="209">
        <f t="shared" si="9"/>
        <v>1.7407407407407409</v>
      </c>
      <c r="AD42" s="212">
        <f t="shared" si="10"/>
        <v>0.1740740740740741</v>
      </c>
      <c r="AE42" s="202">
        <v>27</v>
      </c>
      <c r="AF42" s="211">
        <f t="shared" si="11"/>
        <v>3.5</v>
      </c>
      <c r="AG42" s="212">
        <f>AF42*0.3</f>
        <v>1.05</v>
      </c>
      <c r="AH42" s="203">
        <v>20</v>
      </c>
      <c r="AI42" s="207">
        <v>14</v>
      </c>
      <c r="AJ42" s="203">
        <f t="shared" si="13"/>
        <v>34</v>
      </c>
      <c r="AK42" s="209">
        <f>ROUND(AVERAGE(5-4*(AJ42)/(AJ9)),1)</f>
        <v>3.6</v>
      </c>
      <c r="AL42" s="212">
        <f t="shared" si="14"/>
        <v>0.54</v>
      </c>
      <c r="AM42" s="207">
        <v>30</v>
      </c>
      <c r="AN42" s="207">
        <v>34</v>
      </c>
      <c r="AO42" s="203">
        <f t="shared" si="15"/>
        <v>64</v>
      </c>
      <c r="AP42" s="209">
        <f>ROUND(AVERAGE(5-4*(AO42)/(AO9)),1)</f>
        <v>2.4</v>
      </c>
      <c r="AQ42" s="215">
        <f t="shared" si="16"/>
        <v>0.36</v>
      </c>
      <c r="AR42" s="207">
        <v>30</v>
      </c>
      <c r="AS42" s="207">
        <v>34</v>
      </c>
      <c r="AT42" s="203">
        <f t="shared" si="17"/>
        <v>64</v>
      </c>
      <c r="AU42" s="213">
        <f>ROUND(AVERAGE(5-4*(AT42)/(AT9)),1)</f>
        <v>2.4</v>
      </c>
      <c r="AV42" s="214">
        <f t="shared" si="18"/>
        <v>0.36</v>
      </c>
      <c r="AW42" s="207">
        <v>87</v>
      </c>
      <c r="AX42" s="207">
        <v>85</v>
      </c>
      <c r="AY42" s="207">
        <v>90</v>
      </c>
      <c r="AZ42" s="207">
        <f t="shared" si="19"/>
        <v>262</v>
      </c>
      <c r="BA42" s="213">
        <f>ROUND(AVERAGE(5-4*(AZ42)/(AZ9)),1)</f>
        <v>1.5</v>
      </c>
      <c r="BB42" s="214">
        <f t="shared" si="20"/>
        <v>0.22499999999999998</v>
      </c>
      <c r="BC42" s="216">
        <v>24</v>
      </c>
      <c r="BD42" s="213">
        <f>5-(4*BC42/BC9)</f>
        <v>1.4444444444444446</v>
      </c>
      <c r="BE42" s="214">
        <f t="shared" si="21"/>
        <v>0.14444444444444446</v>
      </c>
      <c r="BF42" s="206">
        <v>35</v>
      </c>
      <c r="BG42" s="217">
        <f>ROUND(AVERAGE(5-4*(BF42)/(BF9)),1)</f>
        <v>3</v>
      </c>
      <c r="BH42" s="242">
        <f t="shared" si="22"/>
        <v>0.89999999999999991</v>
      </c>
      <c r="BI42" s="216">
        <f t="shared" si="23"/>
        <v>2.949074074074074</v>
      </c>
      <c r="BJ42" s="216">
        <f t="shared" si="24"/>
        <v>2.5294444444444442</v>
      </c>
      <c r="BK42" s="216">
        <f t="shared" si="25"/>
        <v>2.7392592592592591</v>
      </c>
      <c r="BL42" s="206" t="s">
        <v>91</v>
      </c>
    </row>
    <row r="43" spans="1:64" s="20" customFormat="1" ht="15" customHeight="1" x14ac:dyDescent="0.3">
      <c r="A43" s="63">
        <v>33</v>
      </c>
      <c r="B43" s="273" t="s">
        <v>165</v>
      </c>
      <c r="C43" s="237" t="s">
        <v>492</v>
      </c>
      <c r="D43" s="86">
        <v>9</v>
      </c>
      <c r="E43" s="86">
        <v>24</v>
      </c>
      <c r="F43" s="93">
        <f t="shared" si="0"/>
        <v>33</v>
      </c>
      <c r="G43" s="266">
        <f>ROUND(AVERAGE(5-4*(F43)/(F9)),1)</f>
        <v>3.7</v>
      </c>
      <c r="H43" s="245">
        <f t="shared" si="26"/>
        <v>0.55500000000000005</v>
      </c>
      <c r="I43" s="259"/>
      <c r="J43" s="260"/>
      <c r="K43" s="78">
        <v>35</v>
      </c>
      <c r="L43" s="78">
        <v>35</v>
      </c>
      <c r="M43" s="81">
        <f t="shared" si="3"/>
        <v>70</v>
      </c>
      <c r="N43" s="266">
        <f>ROUND(AVERAGE(5-4*(M43)/(M9)),1)</f>
        <v>2.2000000000000002</v>
      </c>
      <c r="O43" s="108">
        <f t="shared" si="4"/>
        <v>0.33</v>
      </c>
      <c r="P43" s="261"/>
      <c r="Q43" s="262"/>
      <c r="R43" s="86">
        <v>30</v>
      </c>
      <c r="S43" s="86">
        <v>32</v>
      </c>
      <c r="T43" s="93">
        <f t="shared" si="5"/>
        <v>62</v>
      </c>
      <c r="U43" s="106">
        <f>ROUND(AVERAGE(5-4*(T43)/(T9)),1)</f>
        <v>2.5</v>
      </c>
      <c r="V43" s="108">
        <f t="shared" si="6"/>
        <v>0.375</v>
      </c>
      <c r="W43" s="86">
        <v>82</v>
      </c>
      <c r="X43" s="95">
        <v>87</v>
      </c>
      <c r="Y43" s="96">
        <f t="shared" si="7"/>
        <v>169</v>
      </c>
      <c r="Z43" s="106">
        <f>ROUND(AVERAGE(5-4*(Y43)/(Y9)),1)</f>
        <v>1.6</v>
      </c>
      <c r="AA43" s="108">
        <f t="shared" si="8"/>
        <v>0.24</v>
      </c>
      <c r="AB43" s="98">
        <v>27</v>
      </c>
      <c r="AC43" s="106">
        <f t="shared" si="9"/>
        <v>1</v>
      </c>
      <c r="AD43" s="108">
        <f t="shared" si="10"/>
        <v>0.1</v>
      </c>
      <c r="AE43" s="86">
        <v>22</v>
      </c>
      <c r="AF43" s="107">
        <f t="shared" si="11"/>
        <v>3.7</v>
      </c>
      <c r="AG43" s="108">
        <f t="shared" si="12"/>
        <v>1.1100000000000001</v>
      </c>
      <c r="AH43" s="96">
        <v>22</v>
      </c>
      <c r="AI43" s="152">
        <v>34</v>
      </c>
      <c r="AJ43" s="96">
        <f t="shared" si="13"/>
        <v>56</v>
      </c>
      <c r="AK43" s="106">
        <f>ROUND(AVERAGE(5-4*(AJ43)/(AJ9)),1)</f>
        <v>2.8</v>
      </c>
      <c r="AL43" s="108">
        <f t="shared" si="14"/>
        <v>0.42</v>
      </c>
      <c r="AM43" s="152">
        <v>30</v>
      </c>
      <c r="AN43" s="152">
        <v>32</v>
      </c>
      <c r="AO43" s="96">
        <f t="shared" si="15"/>
        <v>62</v>
      </c>
      <c r="AP43" s="106">
        <f>ROUND(AVERAGE(5-4*(AO43)/(AO9)),1)</f>
        <v>2.5</v>
      </c>
      <c r="AQ43" s="158">
        <f>AP43*0.15</f>
        <v>0.375</v>
      </c>
      <c r="AR43" s="93">
        <v>32</v>
      </c>
      <c r="AS43" s="96">
        <v>35</v>
      </c>
      <c r="AT43" s="96">
        <f t="shared" si="17"/>
        <v>67</v>
      </c>
      <c r="AU43" s="148">
        <f>ROUND(AVERAGE(5-4*(AT43)/(AT9)),1)</f>
        <v>2.2999999999999998</v>
      </c>
      <c r="AV43" s="149">
        <f t="shared" si="18"/>
        <v>0.34499999999999997</v>
      </c>
      <c r="AW43" s="93">
        <v>90</v>
      </c>
      <c r="AX43" s="93">
        <v>90</v>
      </c>
      <c r="AY43" s="93">
        <v>95</v>
      </c>
      <c r="AZ43" s="93">
        <f t="shared" si="19"/>
        <v>275</v>
      </c>
      <c r="BA43" s="148">
        <f>ROUND(AVERAGE(5-4*(AZ43)/(AZ9)),1)</f>
        <v>1.3</v>
      </c>
      <c r="BB43" s="149">
        <f t="shared" si="20"/>
        <v>0.19500000000000001</v>
      </c>
      <c r="BC43" s="165">
        <v>24</v>
      </c>
      <c r="BD43" s="148">
        <f>5-(4*BC43/BC9)</f>
        <v>1.4444444444444446</v>
      </c>
      <c r="BE43" s="149">
        <f t="shared" si="21"/>
        <v>0.14444444444444446</v>
      </c>
      <c r="BF43" s="81">
        <v>41</v>
      </c>
      <c r="BG43" s="156">
        <f>ROUND(AVERAGE(5-4*(BF43)/(BF9)),1)</f>
        <v>2.7</v>
      </c>
      <c r="BH43" s="151">
        <f t="shared" si="22"/>
        <v>0.81</v>
      </c>
      <c r="BI43" s="165">
        <f t="shared" si="23"/>
        <v>2.71</v>
      </c>
      <c r="BJ43" s="165">
        <f t="shared" si="24"/>
        <v>2.2894444444444444</v>
      </c>
      <c r="BK43" s="165">
        <f t="shared" si="25"/>
        <v>2.4997222222222222</v>
      </c>
      <c r="BL43" s="81" t="s">
        <v>91</v>
      </c>
    </row>
    <row r="44" spans="1:64" s="20" customFormat="1" ht="15" customHeight="1" x14ac:dyDescent="0.3">
      <c r="A44" s="199">
        <v>34</v>
      </c>
      <c r="B44" s="400" t="s">
        <v>167</v>
      </c>
      <c r="C44" s="401" t="s">
        <v>168</v>
      </c>
      <c r="D44" s="202">
        <v>7</v>
      </c>
      <c r="E44" s="202">
        <v>17</v>
      </c>
      <c r="F44" s="207">
        <f t="shared" si="0"/>
        <v>24</v>
      </c>
      <c r="G44" s="267">
        <f>ROUND(AVERAGE(5-4*(F44)/(F9)),1)</f>
        <v>4</v>
      </c>
      <c r="H44" s="251">
        <f t="shared" si="26"/>
        <v>0.6</v>
      </c>
      <c r="I44" s="263"/>
      <c r="J44" s="263"/>
      <c r="K44" s="205">
        <v>35</v>
      </c>
      <c r="L44" s="205">
        <v>28</v>
      </c>
      <c r="M44" s="206">
        <f t="shared" si="3"/>
        <v>63</v>
      </c>
      <c r="N44" s="267">
        <f>ROUND(AVERAGE(5-4*(M44)/(M9)),1)</f>
        <v>2.5</v>
      </c>
      <c r="O44" s="212">
        <f t="shared" si="4"/>
        <v>0.375</v>
      </c>
      <c r="P44" s="263"/>
      <c r="Q44" s="263"/>
      <c r="R44" s="202">
        <v>30</v>
      </c>
      <c r="S44" s="202">
        <v>30</v>
      </c>
      <c r="T44" s="207">
        <f t="shared" si="5"/>
        <v>60</v>
      </c>
      <c r="U44" s="209">
        <f>ROUND(AVERAGE(5-4*(T44)/(T9)),1)</f>
        <v>2.6</v>
      </c>
      <c r="V44" s="212">
        <f t="shared" si="6"/>
        <v>0.39</v>
      </c>
      <c r="W44" s="202">
        <v>70</v>
      </c>
      <c r="X44" s="208">
        <v>80</v>
      </c>
      <c r="Y44" s="203">
        <f t="shared" si="7"/>
        <v>150</v>
      </c>
      <c r="Z44" s="209">
        <f>ROUND(AVERAGE(5-4*(Y44)/(Y9)),1)</f>
        <v>2</v>
      </c>
      <c r="AA44" s="212">
        <f t="shared" si="8"/>
        <v>0.3</v>
      </c>
      <c r="AB44" s="218">
        <v>24</v>
      </c>
      <c r="AC44" s="209">
        <f t="shared" si="9"/>
        <v>1.4444444444444446</v>
      </c>
      <c r="AD44" s="212">
        <f t="shared" si="10"/>
        <v>0.14444444444444446</v>
      </c>
      <c r="AE44" s="202">
        <v>15</v>
      </c>
      <c r="AF44" s="211">
        <f t="shared" si="11"/>
        <v>4.0999999999999996</v>
      </c>
      <c r="AG44" s="212">
        <f t="shared" si="12"/>
        <v>1.2299999999999998</v>
      </c>
      <c r="AH44" s="203">
        <v>21</v>
      </c>
      <c r="AI44" s="207">
        <v>27</v>
      </c>
      <c r="AJ44" s="203">
        <f t="shared" si="13"/>
        <v>48</v>
      </c>
      <c r="AK44" s="209">
        <f>ROUND(AVERAGE(5-4*(AJ44)/(AJ9)),1)</f>
        <v>3.1</v>
      </c>
      <c r="AL44" s="212">
        <f t="shared" si="14"/>
        <v>0.46499999999999997</v>
      </c>
      <c r="AM44" s="207">
        <v>32</v>
      </c>
      <c r="AN44" s="207">
        <v>30</v>
      </c>
      <c r="AO44" s="203">
        <f t="shared" si="15"/>
        <v>62</v>
      </c>
      <c r="AP44" s="209">
        <f>ROUND(AVERAGE(5-4*(AO44)/(AO9)),1)</f>
        <v>2.5</v>
      </c>
      <c r="AQ44" s="215">
        <f t="shared" si="16"/>
        <v>0.375</v>
      </c>
      <c r="AR44" s="207">
        <v>30</v>
      </c>
      <c r="AS44" s="207">
        <v>30</v>
      </c>
      <c r="AT44" s="203">
        <f t="shared" si="17"/>
        <v>60</v>
      </c>
      <c r="AU44" s="213">
        <f>ROUND(AVERAGE(5-4*(AT44)/(AT9)),1)</f>
        <v>2.6</v>
      </c>
      <c r="AV44" s="214">
        <f t="shared" si="18"/>
        <v>0.39</v>
      </c>
      <c r="AW44" s="207">
        <v>80</v>
      </c>
      <c r="AX44" s="207">
        <v>80</v>
      </c>
      <c r="AY44" s="207">
        <v>85</v>
      </c>
      <c r="AZ44" s="207">
        <f t="shared" si="19"/>
        <v>245</v>
      </c>
      <c r="BA44" s="213">
        <f>ROUND(AVERAGE(5-4*(AZ44)/(AZ9)),1)</f>
        <v>1.7</v>
      </c>
      <c r="BB44" s="214">
        <f t="shared" si="20"/>
        <v>0.255</v>
      </c>
      <c r="BC44" s="216">
        <v>21</v>
      </c>
      <c r="BD44" s="213">
        <f>5-(4*BC44/BC9)</f>
        <v>1.8888888888888888</v>
      </c>
      <c r="BE44" s="214">
        <f t="shared" si="21"/>
        <v>0.18888888888888888</v>
      </c>
      <c r="BF44" s="206">
        <v>33</v>
      </c>
      <c r="BG44" s="243">
        <f>ROUND(AVERAGE(5-4*(BF44)/(BF9)),1)</f>
        <v>3.1</v>
      </c>
      <c r="BH44" s="242">
        <f t="shared" si="22"/>
        <v>0.92999999999999994</v>
      </c>
      <c r="BI44" s="216">
        <f t="shared" si="23"/>
        <v>3.0394444444444444</v>
      </c>
      <c r="BJ44" s="216">
        <f t="shared" si="24"/>
        <v>2.6038888888888887</v>
      </c>
      <c r="BK44" s="216">
        <f t="shared" si="25"/>
        <v>2.8216666666666663</v>
      </c>
      <c r="BL44" s="206" t="s">
        <v>91</v>
      </c>
    </row>
    <row r="45" spans="1:64" s="20" customFormat="1" ht="14.25" customHeight="1" x14ac:dyDescent="0.3">
      <c r="A45" s="63">
        <v>35</v>
      </c>
      <c r="B45" s="273" t="s">
        <v>169</v>
      </c>
      <c r="C45" s="237" t="s">
        <v>170</v>
      </c>
      <c r="D45" s="202">
        <v>42</v>
      </c>
      <c r="E45" s="202">
        <v>31</v>
      </c>
      <c r="F45" s="207">
        <f>SUM(D45+E45)</f>
        <v>73</v>
      </c>
      <c r="G45" s="267">
        <f>ROUND(AVERAGE(5-4*(F45)/(F9)),1)</f>
        <v>2.1</v>
      </c>
      <c r="H45" s="251">
        <f t="shared" si="26"/>
        <v>0.315</v>
      </c>
      <c r="I45" s="263"/>
      <c r="J45" s="263"/>
      <c r="K45" s="244">
        <v>42</v>
      </c>
      <c r="L45" s="244">
        <v>40</v>
      </c>
      <c r="M45" s="206">
        <f t="shared" si="3"/>
        <v>82</v>
      </c>
      <c r="N45" s="267">
        <f>ROUND(AVERAGE(5-4*(M45)/(M9)),1)</f>
        <v>1.7</v>
      </c>
      <c r="O45" s="212">
        <f t="shared" si="4"/>
        <v>0.255</v>
      </c>
      <c r="P45" s="263"/>
      <c r="Q45" s="263"/>
      <c r="R45" s="202">
        <v>40</v>
      </c>
      <c r="S45" s="202">
        <v>40</v>
      </c>
      <c r="T45" s="207">
        <f t="shared" si="5"/>
        <v>80</v>
      </c>
      <c r="U45" s="209">
        <f>ROUND(AVERAGE(5-4*(T45)/(T9)),1)</f>
        <v>1.8</v>
      </c>
      <c r="V45" s="212">
        <f t="shared" si="6"/>
        <v>0.27</v>
      </c>
      <c r="W45" s="202">
        <v>100</v>
      </c>
      <c r="X45" s="241">
        <v>100</v>
      </c>
      <c r="Y45" s="203">
        <f t="shared" si="7"/>
        <v>200</v>
      </c>
      <c r="Z45" s="209">
        <f>ROUND(AVERAGE(5-4*(Y45)/(Y9)),1)</f>
        <v>1</v>
      </c>
      <c r="AA45" s="212">
        <f t="shared" si="8"/>
        <v>0.15</v>
      </c>
      <c r="AB45" s="218">
        <v>27</v>
      </c>
      <c r="AC45" s="209">
        <f t="shared" si="9"/>
        <v>1</v>
      </c>
      <c r="AD45" s="212">
        <f t="shared" si="10"/>
        <v>0.1</v>
      </c>
      <c r="AE45" s="202">
        <v>46</v>
      </c>
      <c r="AF45" s="211">
        <f>ROUND(AVERAGE(5-4*(AE45)/(70)),1)</f>
        <v>2.4</v>
      </c>
      <c r="AG45" s="212">
        <f t="shared" si="12"/>
        <v>0.72</v>
      </c>
      <c r="AH45" s="203">
        <v>34</v>
      </c>
      <c r="AI45" s="207">
        <v>36</v>
      </c>
      <c r="AJ45" s="203">
        <f>SUM(AH45+AI45)</f>
        <v>70</v>
      </c>
      <c r="AK45" s="209">
        <f>ROUND(AVERAGE(5-4*(AJ45)/(AJ9)),1)</f>
        <v>2.2000000000000002</v>
      </c>
      <c r="AL45" s="212">
        <f t="shared" si="14"/>
        <v>0.33</v>
      </c>
      <c r="AM45" s="207">
        <v>40</v>
      </c>
      <c r="AN45" s="207">
        <v>47</v>
      </c>
      <c r="AO45" s="96">
        <f t="shared" si="15"/>
        <v>87</v>
      </c>
      <c r="AP45" s="209">
        <f>ROUND(AVERAGE(5-4*(AO45)/(AO9)),1)</f>
        <v>1.5</v>
      </c>
      <c r="AQ45" s="215">
        <f t="shared" si="16"/>
        <v>0.22499999999999998</v>
      </c>
      <c r="AR45" s="207">
        <v>40</v>
      </c>
      <c r="AS45" s="207">
        <v>45</v>
      </c>
      <c r="AT45" s="96">
        <f t="shared" si="17"/>
        <v>85</v>
      </c>
      <c r="AU45" s="213">
        <f>ROUND(AVERAGE(5-4*(AT45)/(AT9)),1)</f>
        <v>1.6</v>
      </c>
      <c r="AV45" s="214">
        <f t="shared" si="18"/>
        <v>0.24</v>
      </c>
      <c r="AW45" s="207">
        <v>100</v>
      </c>
      <c r="AX45" s="207">
        <v>100</v>
      </c>
      <c r="AY45" s="207">
        <v>100</v>
      </c>
      <c r="AZ45" s="93">
        <f t="shared" si="19"/>
        <v>300</v>
      </c>
      <c r="BA45" s="213">
        <f>ROUND(AVERAGE(5-4*(AZ45)/(AZ9)),1)</f>
        <v>1</v>
      </c>
      <c r="BB45" s="214">
        <f t="shared" si="20"/>
        <v>0.15</v>
      </c>
      <c r="BC45" s="216">
        <v>27</v>
      </c>
      <c r="BD45" s="213">
        <f>5-(4*BC45/BC9)</f>
        <v>1</v>
      </c>
      <c r="BE45" s="214">
        <f t="shared" si="21"/>
        <v>0.1</v>
      </c>
      <c r="BF45" s="206">
        <v>56</v>
      </c>
      <c r="BG45" s="217">
        <f>ROUND(AVERAGE(5-4*(BF45)/(BF9)),1)</f>
        <v>1.8</v>
      </c>
      <c r="BH45" s="214">
        <f t="shared" si="22"/>
        <v>0.54</v>
      </c>
      <c r="BI45" s="165">
        <f t="shared" si="23"/>
        <v>1.81</v>
      </c>
      <c r="BJ45" s="216">
        <f t="shared" si="24"/>
        <v>1.585</v>
      </c>
      <c r="BK45" s="216">
        <f t="shared" si="25"/>
        <v>1.6975</v>
      </c>
      <c r="BL45" s="81" t="s">
        <v>91</v>
      </c>
    </row>
    <row r="46" spans="1:64" s="20" customFormat="1" ht="15" customHeight="1" x14ac:dyDescent="0.3">
      <c r="A46" s="63">
        <v>36</v>
      </c>
      <c r="B46" s="273" t="s">
        <v>171</v>
      </c>
      <c r="C46" s="237" t="s">
        <v>172</v>
      </c>
      <c r="D46" s="202">
        <v>28</v>
      </c>
      <c r="E46" s="202">
        <v>15</v>
      </c>
      <c r="F46" s="207">
        <f t="shared" si="0"/>
        <v>43</v>
      </c>
      <c r="G46" s="267">
        <f>ROUND(AVERAGE(5-4*(F46)/(F9)),1)</f>
        <v>3.3</v>
      </c>
      <c r="H46" s="251">
        <f t="shared" si="26"/>
        <v>0.49499999999999994</v>
      </c>
      <c r="I46" s="263"/>
      <c r="J46" s="263"/>
      <c r="K46" s="244">
        <v>34</v>
      </c>
      <c r="L46" s="244">
        <v>28</v>
      </c>
      <c r="M46" s="206">
        <f t="shared" si="3"/>
        <v>62</v>
      </c>
      <c r="N46" s="267">
        <f>ROUND(AVERAGE(5-4*(M46)/(M9)),1)</f>
        <v>2.5</v>
      </c>
      <c r="O46" s="212">
        <f t="shared" si="4"/>
        <v>0.375</v>
      </c>
      <c r="P46" s="263"/>
      <c r="Q46" s="263"/>
      <c r="R46" s="202">
        <v>30</v>
      </c>
      <c r="S46" s="202">
        <v>30</v>
      </c>
      <c r="T46" s="207">
        <f t="shared" si="5"/>
        <v>60</v>
      </c>
      <c r="U46" s="209">
        <f>ROUND(AVERAGE(5-4*(T46)/(T9)),1)</f>
        <v>2.6</v>
      </c>
      <c r="V46" s="212">
        <f t="shared" si="6"/>
        <v>0.39</v>
      </c>
      <c r="W46" s="202">
        <v>70</v>
      </c>
      <c r="X46" s="241">
        <v>80</v>
      </c>
      <c r="Y46" s="203">
        <f t="shared" si="7"/>
        <v>150</v>
      </c>
      <c r="Z46" s="209">
        <f>ROUND(AVERAGE(5-4*(Y46)/(Y9)),1)</f>
        <v>2</v>
      </c>
      <c r="AA46" s="212">
        <f t="shared" si="8"/>
        <v>0.3</v>
      </c>
      <c r="AB46" s="218">
        <v>25.5</v>
      </c>
      <c r="AC46" s="209">
        <f t="shared" si="9"/>
        <v>1.2222222222222223</v>
      </c>
      <c r="AD46" s="212">
        <f t="shared" si="10"/>
        <v>0.12222222222222223</v>
      </c>
      <c r="AE46" s="202">
        <v>28</v>
      </c>
      <c r="AF46" s="211">
        <f t="shared" si="11"/>
        <v>3.4</v>
      </c>
      <c r="AG46" s="212">
        <f>AF46*0.3</f>
        <v>1.02</v>
      </c>
      <c r="AH46" s="203">
        <v>32</v>
      </c>
      <c r="AI46" s="207">
        <v>16</v>
      </c>
      <c r="AJ46" s="203">
        <f t="shared" si="13"/>
        <v>48</v>
      </c>
      <c r="AK46" s="209">
        <f>ROUND(AVERAGE(5-4*(AJ46)/(AJ9)),1)</f>
        <v>3.1</v>
      </c>
      <c r="AL46" s="212">
        <f t="shared" si="14"/>
        <v>0.46499999999999997</v>
      </c>
      <c r="AM46" s="207">
        <v>30</v>
      </c>
      <c r="AN46" s="207">
        <v>30</v>
      </c>
      <c r="AO46" s="96">
        <f t="shared" si="15"/>
        <v>60</v>
      </c>
      <c r="AP46" s="209">
        <f>ROUND(AVERAGE(5-4*(AO46)/(AO9)),1)</f>
        <v>2.6</v>
      </c>
      <c r="AQ46" s="215">
        <f t="shared" si="16"/>
        <v>0.39</v>
      </c>
      <c r="AR46" s="207">
        <v>30</v>
      </c>
      <c r="AS46" s="207">
        <v>32</v>
      </c>
      <c r="AT46" s="96">
        <f t="shared" si="17"/>
        <v>62</v>
      </c>
      <c r="AU46" s="213">
        <f>ROUND(AVERAGE(5-4*(AT46)/(AT9)),1)</f>
        <v>2.5</v>
      </c>
      <c r="AV46" s="214">
        <f t="shared" si="18"/>
        <v>0.375</v>
      </c>
      <c r="AW46" s="207">
        <v>87</v>
      </c>
      <c r="AX46" s="207">
        <v>92</v>
      </c>
      <c r="AY46" s="207">
        <v>90</v>
      </c>
      <c r="AZ46" s="93">
        <f t="shared" si="19"/>
        <v>269</v>
      </c>
      <c r="BA46" s="213">
        <f>ROUND(AVERAGE(5-4*(AZ46)/(AZ9)),1)</f>
        <v>1.4</v>
      </c>
      <c r="BB46" s="214">
        <f t="shared" si="20"/>
        <v>0.21</v>
      </c>
      <c r="BC46" s="216">
        <v>27</v>
      </c>
      <c r="BD46" s="213">
        <f>5-(4*BC46/BC9)</f>
        <v>1</v>
      </c>
      <c r="BE46" s="214">
        <f t="shared" si="21"/>
        <v>0.1</v>
      </c>
      <c r="BF46" s="206">
        <v>15</v>
      </c>
      <c r="BG46" s="217">
        <f>ROUND(AVERAGE(5-4*(BF46)/(BF9)),1)</f>
        <v>4.0999999999999996</v>
      </c>
      <c r="BH46" s="242">
        <f t="shared" si="22"/>
        <v>1.2299999999999998</v>
      </c>
      <c r="BI46" s="165">
        <f t="shared" si="23"/>
        <v>2.7022222222222219</v>
      </c>
      <c r="BJ46" s="216">
        <f t="shared" si="24"/>
        <v>2.7699999999999996</v>
      </c>
      <c r="BK46" s="216">
        <f t="shared" si="25"/>
        <v>2.7361111111111107</v>
      </c>
      <c r="BL46" s="81" t="s">
        <v>91</v>
      </c>
    </row>
    <row r="47" spans="1:64" s="20" customFormat="1" ht="15" customHeight="1" x14ac:dyDescent="0.3">
      <c r="A47" s="63">
        <v>37</v>
      </c>
      <c r="B47" s="273" t="s">
        <v>173</v>
      </c>
      <c r="C47" s="237" t="s">
        <v>174</v>
      </c>
      <c r="D47" s="202">
        <v>31</v>
      </c>
      <c r="E47" s="202">
        <v>14</v>
      </c>
      <c r="F47" s="207">
        <f t="shared" si="0"/>
        <v>45</v>
      </c>
      <c r="G47" s="267">
        <f>ROUND(AVERAGE(5-4*(F47)/(F9)),1)</f>
        <v>3.2</v>
      </c>
      <c r="H47" s="251">
        <f t="shared" si="26"/>
        <v>0.48</v>
      </c>
      <c r="I47" s="263"/>
      <c r="J47" s="263"/>
      <c r="K47" s="205">
        <v>35</v>
      </c>
      <c r="L47" s="205">
        <v>31</v>
      </c>
      <c r="M47" s="206">
        <f t="shared" si="3"/>
        <v>66</v>
      </c>
      <c r="N47" s="267">
        <f>ROUND(AVERAGE(5-4*(M47)/(M9)),1)</f>
        <v>2.4</v>
      </c>
      <c r="O47" s="212">
        <f t="shared" si="4"/>
        <v>0.36</v>
      </c>
      <c r="P47" s="263"/>
      <c r="Q47" s="263"/>
      <c r="R47" s="202">
        <v>35</v>
      </c>
      <c r="S47" s="202">
        <v>29</v>
      </c>
      <c r="T47" s="207">
        <f t="shared" si="5"/>
        <v>64</v>
      </c>
      <c r="U47" s="209">
        <f>ROUND(AVERAGE(5-4*(T47)/(T9)),1)</f>
        <v>2.4</v>
      </c>
      <c r="V47" s="212">
        <f t="shared" si="6"/>
        <v>0.36</v>
      </c>
      <c r="W47" s="202">
        <v>87</v>
      </c>
      <c r="X47" s="208">
        <v>80</v>
      </c>
      <c r="Y47" s="203">
        <f t="shared" si="7"/>
        <v>167</v>
      </c>
      <c r="Z47" s="209">
        <f>ROUND(AVERAGE(5-4*(Y47)/(Y9)),1)</f>
        <v>1.7</v>
      </c>
      <c r="AA47" s="212">
        <f t="shared" si="8"/>
        <v>0.255</v>
      </c>
      <c r="AB47" s="218">
        <v>27</v>
      </c>
      <c r="AC47" s="209">
        <f t="shared" si="9"/>
        <v>1</v>
      </c>
      <c r="AD47" s="212">
        <f>AC47*0.1</f>
        <v>0.1</v>
      </c>
      <c r="AE47" s="202">
        <v>15</v>
      </c>
      <c r="AF47" s="211">
        <f t="shared" si="11"/>
        <v>4.0999999999999996</v>
      </c>
      <c r="AG47" s="212">
        <f t="shared" si="12"/>
        <v>1.2299999999999998</v>
      </c>
      <c r="AH47" s="203">
        <v>25</v>
      </c>
      <c r="AI47" s="207">
        <v>14</v>
      </c>
      <c r="AJ47" s="203">
        <f t="shared" si="13"/>
        <v>39</v>
      </c>
      <c r="AK47" s="209">
        <f>ROUND(AVERAGE(5-4*(AJ47)/(AJ9)),1)</f>
        <v>3.4</v>
      </c>
      <c r="AL47" s="212">
        <f t="shared" si="14"/>
        <v>0.51</v>
      </c>
      <c r="AM47" s="207">
        <v>35</v>
      </c>
      <c r="AN47" s="207">
        <v>38</v>
      </c>
      <c r="AO47" s="96">
        <f t="shared" si="15"/>
        <v>73</v>
      </c>
      <c r="AP47" s="209">
        <f>ROUND(AVERAGE(5-4*(AO47)/(AO9)),1)</f>
        <v>2.1</v>
      </c>
      <c r="AQ47" s="215">
        <f t="shared" si="16"/>
        <v>0.315</v>
      </c>
      <c r="AR47" s="207">
        <v>30</v>
      </c>
      <c r="AS47" s="207">
        <v>35</v>
      </c>
      <c r="AT47" s="96">
        <f t="shared" si="17"/>
        <v>65</v>
      </c>
      <c r="AU47" s="213">
        <f>ROUND(AVERAGE(5-4*(AT47)/(AT9)),1)</f>
        <v>2.4</v>
      </c>
      <c r="AV47" s="214">
        <f t="shared" si="18"/>
        <v>0.36</v>
      </c>
      <c r="AW47" s="207">
        <v>85</v>
      </c>
      <c r="AX47" s="207">
        <v>89</v>
      </c>
      <c r="AY47" s="207">
        <v>90</v>
      </c>
      <c r="AZ47" s="93">
        <f t="shared" si="19"/>
        <v>264</v>
      </c>
      <c r="BA47" s="213">
        <f>ROUND(AVERAGE(5-4*(AZ47)/(AZ9)),1)</f>
        <v>1.5</v>
      </c>
      <c r="BB47" s="214">
        <f t="shared" si="20"/>
        <v>0.22499999999999998</v>
      </c>
      <c r="BC47" s="216">
        <v>27</v>
      </c>
      <c r="BD47" s="213">
        <f>5-(4*BC47/BC9)</f>
        <v>1</v>
      </c>
      <c r="BE47" s="214">
        <f t="shared" si="21"/>
        <v>0.1</v>
      </c>
      <c r="BF47" s="206">
        <v>31</v>
      </c>
      <c r="BG47" s="217">
        <f>ROUND(AVERAGE(5-4*(BF47)/(BF9)),1)</f>
        <v>3.2</v>
      </c>
      <c r="BH47" s="214">
        <f>BG47*0.3</f>
        <v>0.96</v>
      </c>
      <c r="BI47" s="165">
        <f t="shared" si="23"/>
        <v>2.7850000000000001</v>
      </c>
      <c r="BJ47" s="216">
        <f t="shared" si="24"/>
        <v>2.4700000000000002</v>
      </c>
      <c r="BK47" s="216">
        <f t="shared" si="25"/>
        <v>2.6275000000000004</v>
      </c>
      <c r="BL47" s="81" t="s">
        <v>91</v>
      </c>
    </row>
    <row r="48" spans="1:64" s="20" customFormat="1" ht="15.75" customHeight="1" x14ac:dyDescent="0.3">
      <c r="A48" s="63">
        <v>38</v>
      </c>
      <c r="B48" s="273" t="s">
        <v>175</v>
      </c>
      <c r="C48" s="237" t="s">
        <v>176</v>
      </c>
      <c r="D48" s="202">
        <v>20</v>
      </c>
      <c r="E48" s="202">
        <v>36</v>
      </c>
      <c r="F48" s="207">
        <f t="shared" si="0"/>
        <v>56</v>
      </c>
      <c r="G48" s="267">
        <f>ROUND(AVERAGE(5-4*(F48)/(F9)),1)</f>
        <v>2.8</v>
      </c>
      <c r="H48" s="251">
        <f t="shared" si="26"/>
        <v>0.42</v>
      </c>
      <c r="I48" s="263"/>
      <c r="J48" s="263"/>
      <c r="K48" s="205">
        <v>35</v>
      </c>
      <c r="L48" s="205">
        <v>34</v>
      </c>
      <c r="M48" s="206">
        <f t="shared" si="3"/>
        <v>69</v>
      </c>
      <c r="N48" s="267">
        <f>ROUND(AVERAGE(5-4*(M48)/(M9)),1)</f>
        <v>2.2000000000000002</v>
      </c>
      <c r="O48" s="212">
        <f t="shared" si="4"/>
        <v>0.33</v>
      </c>
      <c r="P48" s="263"/>
      <c r="Q48" s="263"/>
      <c r="R48" s="202">
        <v>30</v>
      </c>
      <c r="S48" s="202">
        <v>30</v>
      </c>
      <c r="T48" s="207">
        <f t="shared" si="5"/>
        <v>60</v>
      </c>
      <c r="U48" s="209">
        <f>ROUND(AVERAGE(5-4*(T48)/(T9)),1)</f>
        <v>2.6</v>
      </c>
      <c r="V48" s="212">
        <f t="shared" si="6"/>
        <v>0.39</v>
      </c>
      <c r="W48" s="202">
        <v>80</v>
      </c>
      <c r="X48" s="208">
        <v>85</v>
      </c>
      <c r="Y48" s="203">
        <f t="shared" si="7"/>
        <v>165</v>
      </c>
      <c r="Z48" s="209">
        <f>ROUND(AVERAGE(5-4*(Y48)/(Y9)),1)</f>
        <v>1.7</v>
      </c>
      <c r="AA48" s="212">
        <f t="shared" si="8"/>
        <v>0.255</v>
      </c>
      <c r="AB48" s="218">
        <v>27</v>
      </c>
      <c r="AC48" s="209">
        <f t="shared" si="9"/>
        <v>1</v>
      </c>
      <c r="AD48" s="212">
        <f t="shared" si="10"/>
        <v>0.1</v>
      </c>
      <c r="AE48" s="202">
        <v>19</v>
      </c>
      <c r="AF48" s="211">
        <f t="shared" si="11"/>
        <v>3.9</v>
      </c>
      <c r="AG48" s="212">
        <f t="shared" si="12"/>
        <v>1.17</v>
      </c>
      <c r="AH48" s="203">
        <v>25</v>
      </c>
      <c r="AI48" s="207">
        <v>30</v>
      </c>
      <c r="AJ48" s="203">
        <f t="shared" si="13"/>
        <v>55</v>
      </c>
      <c r="AK48" s="209">
        <f>ROUND(AVERAGE(5-4*(AJ48)/(AJ9)),1)</f>
        <v>2.8</v>
      </c>
      <c r="AL48" s="212">
        <f t="shared" si="14"/>
        <v>0.42</v>
      </c>
      <c r="AM48" s="207">
        <v>30</v>
      </c>
      <c r="AN48" s="207">
        <v>30</v>
      </c>
      <c r="AO48" s="96">
        <f t="shared" si="15"/>
        <v>60</v>
      </c>
      <c r="AP48" s="209">
        <f>ROUND(AVERAGE(5-4*(AO48)/(AO9)),1)</f>
        <v>2.6</v>
      </c>
      <c r="AQ48" s="215">
        <f t="shared" si="16"/>
        <v>0.39</v>
      </c>
      <c r="AR48" s="207">
        <v>28</v>
      </c>
      <c r="AS48" s="207">
        <v>30</v>
      </c>
      <c r="AT48" s="96">
        <f t="shared" si="17"/>
        <v>58</v>
      </c>
      <c r="AU48" s="213">
        <f>ROUND(AVERAGE(5-4*(AT48)/(AT9)),1)</f>
        <v>2.7</v>
      </c>
      <c r="AV48" s="214">
        <f>AU48*0.15</f>
        <v>0.40500000000000003</v>
      </c>
      <c r="AW48" s="207">
        <v>85</v>
      </c>
      <c r="AX48" s="207">
        <v>80</v>
      </c>
      <c r="AY48" s="207">
        <v>90</v>
      </c>
      <c r="AZ48" s="93">
        <f t="shared" si="19"/>
        <v>255</v>
      </c>
      <c r="BA48" s="213">
        <f>ROUND(AVERAGE(5-4*(AZ48)/(AZ9)),1)</f>
        <v>1.6</v>
      </c>
      <c r="BB48" s="214">
        <f t="shared" si="20"/>
        <v>0.24</v>
      </c>
      <c r="BC48" s="216">
        <v>27</v>
      </c>
      <c r="BD48" s="213">
        <f>5-(4*BC48/BC9)</f>
        <v>1</v>
      </c>
      <c r="BE48" s="214">
        <f t="shared" si="21"/>
        <v>0.1</v>
      </c>
      <c r="BF48" s="206">
        <v>41</v>
      </c>
      <c r="BG48" s="217">
        <f>ROUND(AVERAGE(5-4*(BF48)/(BF9)),1)</f>
        <v>2.7</v>
      </c>
      <c r="BH48" s="242">
        <f t="shared" si="22"/>
        <v>0.81</v>
      </c>
      <c r="BI48" s="165">
        <f t="shared" si="23"/>
        <v>2.665</v>
      </c>
      <c r="BJ48" s="216">
        <f t="shared" si="24"/>
        <v>2.3650000000000002</v>
      </c>
      <c r="BK48" s="216">
        <f t="shared" si="25"/>
        <v>2.5150000000000001</v>
      </c>
      <c r="BL48" s="81" t="s">
        <v>91</v>
      </c>
    </row>
    <row r="49" spans="1:64" s="20" customFormat="1" ht="13.5" customHeight="1" x14ac:dyDescent="0.3">
      <c r="A49" s="63">
        <v>39</v>
      </c>
      <c r="B49" s="273" t="s">
        <v>177</v>
      </c>
      <c r="C49" s="237" t="s">
        <v>178</v>
      </c>
      <c r="D49" s="202">
        <v>11</v>
      </c>
      <c r="E49" s="202">
        <v>25</v>
      </c>
      <c r="F49" s="207">
        <f t="shared" si="0"/>
        <v>36</v>
      </c>
      <c r="G49" s="267">
        <f>ROUND(AVERAGE(5-4*(F49)/(F9)),1)</f>
        <v>3.6</v>
      </c>
      <c r="H49" s="251">
        <f t="shared" si="26"/>
        <v>0.54</v>
      </c>
      <c r="I49" s="263"/>
      <c r="J49" s="263"/>
      <c r="K49" s="205">
        <v>36</v>
      </c>
      <c r="L49" s="205">
        <v>31</v>
      </c>
      <c r="M49" s="206">
        <f t="shared" si="3"/>
        <v>67</v>
      </c>
      <c r="N49" s="267">
        <f>ROUND(AVERAGE(5-4*(M49)/(M9)),1)</f>
        <v>2.2999999999999998</v>
      </c>
      <c r="O49" s="212">
        <f t="shared" si="4"/>
        <v>0.34499999999999997</v>
      </c>
      <c r="P49" s="263"/>
      <c r="Q49" s="263"/>
      <c r="R49" s="202">
        <v>28</v>
      </c>
      <c r="S49" s="202">
        <v>30</v>
      </c>
      <c r="T49" s="207">
        <f t="shared" si="5"/>
        <v>58</v>
      </c>
      <c r="U49" s="209">
        <f>ROUND(AVERAGE(5-4*(T49)/(T9)),1)</f>
        <v>2.7</v>
      </c>
      <c r="V49" s="212">
        <f t="shared" si="6"/>
        <v>0.40500000000000003</v>
      </c>
      <c r="W49" s="202">
        <v>80</v>
      </c>
      <c r="X49" s="208">
        <v>80</v>
      </c>
      <c r="Y49" s="203">
        <f t="shared" si="7"/>
        <v>160</v>
      </c>
      <c r="Z49" s="209">
        <f>ROUND(AVERAGE(5-4*(Y49)/(Y9)),1)</f>
        <v>1.8</v>
      </c>
      <c r="AA49" s="212">
        <f t="shared" si="8"/>
        <v>0.27</v>
      </c>
      <c r="AB49" s="218">
        <v>27</v>
      </c>
      <c r="AC49" s="209">
        <f t="shared" si="9"/>
        <v>1</v>
      </c>
      <c r="AD49" s="212">
        <f t="shared" si="10"/>
        <v>0.1</v>
      </c>
      <c r="AE49" s="202">
        <v>22</v>
      </c>
      <c r="AF49" s="211">
        <f t="shared" si="11"/>
        <v>3.7</v>
      </c>
      <c r="AG49" s="212">
        <f t="shared" si="12"/>
        <v>1.1100000000000001</v>
      </c>
      <c r="AH49" s="203">
        <v>22</v>
      </c>
      <c r="AI49" s="207">
        <v>34</v>
      </c>
      <c r="AJ49" s="203">
        <f t="shared" si="13"/>
        <v>56</v>
      </c>
      <c r="AK49" s="209">
        <f>ROUND(AVERAGE(5-4*(AJ49)/(AJ9)),1)</f>
        <v>2.8</v>
      </c>
      <c r="AL49" s="212">
        <f t="shared" si="14"/>
        <v>0.42</v>
      </c>
      <c r="AM49" s="207">
        <v>30</v>
      </c>
      <c r="AN49" s="207">
        <v>31</v>
      </c>
      <c r="AO49" s="96">
        <f t="shared" si="15"/>
        <v>61</v>
      </c>
      <c r="AP49" s="209">
        <f>ROUND(AVERAGE(5-4*(AO49)/(AO9)),1)</f>
        <v>2.6</v>
      </c>
      <c r="AQ49" s="215">
        <f t="shared" si="16"/>
        <v>0.39</v>
      </c>
      <c r="AR49" s="207">
        <v>30</v>
      </c>
      <c r="AS49" s="207">
        <v>30</v>
      </c>
      <c r="AT49" s="96">
        <f t="shared" si="17"/>
        <v>60</v>
      </c>
      <c r="AU49" s="213">
        <f>ROUND(AVERAGE(5-4*(AT49)/(AT9)),1)</f>
        <v>2.6</v>
      </c>
      <c r="AV49" s="214">
        <f t="shared" si="18"/>
        <v>0.39</v>
      </c>
      <c r="AW49" s="207">
        <v>85</v>
      </c>
      <c r="AX49" s="207">
        <v>85</v>
      </c>
      <c r="AY49" s="207">
        <v>85</v>
      </c>
      <c r="AZ49" s="93">
        <f t="shared" si="19"/>
        <v>255</v>
      </c>
      <c r="BA49" s="213">
        <f>ROUND(AVERAGE(5-4*(AZ49)/(AZ9)),1)</f>
        <v>1.6</v>
      </c>
      <c r="BB49" s="214">
        <f t="shared" si="20"/>
        <v>0.24</v>
      </c>
      <c r="BC49" s="216">
        <v>27</v>
      </c>
      <c r="BD49" s="213">
        <f>5-(4*BC49/BC9)</f>
        <v>1</v>
      </c>
      <c r="BE49" s="214">
        <f t="shared" si="21"/>
        <v>0.1</v>
      </c>
      <c r="BF49" s="206">
        <v>35</v>
      </c>
      <c r="BG49" s="217">
        <f>ROUND(AVERAGE(5-4*(BF49)/(BF9)),1)</f>
        <v>3</v>
      </c>
      <c r="BH49" s="242">
        <f t="shared" si="22"/>
        <v>0.89999999999999991</v>
      </c>
      <c r="BI49" s="165">
        <f t="shared" si="23"/>
        <v>2.7700000000000005</v>
      </c>
      <c r="BJ49" s="216">
        <f t="shared" si="24"/>
        <v>2.4400000000000004</v>
      </c>
      <c r="BK49" s="216">
        <f t="shared" si="25"/>
        <v>2.6050000000000004</v>
      </c>
      <c r="BL49" s="81" t="s">
        <v>91</v>
      </c>
    </row>
    <row r="50" spans="1:64" ht="15.75" customHeight="1" x14ac:dyDescent="0.3">
      <c r="A50" s="63">
        <v>40</v>
      </c>
      <c r="B50" s="273" t="s">
        <v>179</v>
      </c>
      <c r="C50" s="237" t="s">
        <v>180</v>
      </c>
      <c r="D50" s="202">
        <v>33</v>
      </c>
      <c r="E50" s="202">
        <v>9</v>
      </c>
      <c r="F50" s="207">
        <f t="shared" si="0"/>
        <v>42</v>
      </c>
      <c r="G50" s="267">
        <f>ROUND(AVERAGE(5-4*(F50)/(F9)),1)</f>
        <v>3.3</v>
      </c>
      <c r="H50" s="251">
        <f t="shared" si="26"/>
        <v>0.49499999999999994</v>
      </c>
      <c r="I50" s="263"/>
      <c r="J50" s="263"/>
      <c r="K50" s="205">
        <v>39</v>
      </c>
      <c r="L50" s="205">
        <v>31</v>
      </c>
      <c r="M50" s="206">
        <f t="shared" si="3"/>
        <v>70</v>
      </c>
      <c r="N50" s="267">
        <f>ROUND(AVERAGE(5-4*(M50)/(M9)),1)</f>
        <v>2.2000000000000002</v>
      </c>
      <c r="O50" s="212">
        <f t="shared" si="4"/>
        <v>0.33</v>
      </c>
      <c r="P50" s="263"/>
      <c r="Q50" s="263"/>
      <c r="R50" s="202">
        <v>30</v>
      </c>
      <c r="S50" s="202">
        <v>35</v>
      </c>
      <c r="T50" s="207">
        <f t="shared" si="5"/>
        <v>65</v>
      </c>
      <c r="U50" s="209">
        <f>ROUND(AVERAGE(5-4*(T50)/(T9)),1)</f>
        <v>2.4</v>
      </c>
      <c r="V50" s="212">
        <f t="shared" si="6"/>
        <v>0.36</v>
      </c>
      <c r="W50" s="202">
        <v>83</v>
      </c>
      <c r="X50" s="208">
        <v>82</v>
      </c>
      <c r="Y50" s="203">
        <f t="shared" si="7"/>
        <v>165</v>
      </c>
      <c r="Z50" s="209">
        <f>ROUND(AVERAGE(5-4*(Y50)/(Y9)),1)</f>
        <v>1.7</v>
      </c>
      <c r="AA50" s="212">
        <f t="shared" si="8"/>
        <v>0.255</v>
      </c>
      <c r="AB50" s="218">
        <v>27</v>
      </c>
      <c r="AC50" s="209">
        <f t="shared" si="9"/>
        <v>1</v>
      </c>
      <c r="AD50" s="212">
        <f t="shared" si="10"/>
        <v>0.1</v>
      </c>
      <c r="AE50" s="202">
        <v>13</v>
      </c>
      <c r="AF50" s="211">
        <f t="shared" si="11"/>
        <v>4.3</v>
      </c>
      <c r="AG50" s="212">
        <f t="shared" si="12"/>
        <v>1.2899999999999998</v>
      </c>
      <c r="AH50" s="203">
        <v>20</v>
      </c>
      <c r="AI50" s="207">
        <v>25</v>
      </c>
      <c r="AJ50" s="203">
        <f t="shared" si="13"/>
        <v>45</v>
      </c>
      <c r="AK50" s="209">
        <f>ROUND(AVERAGE(5-4*(AJ50)/(AJ9)),1)</f>
        <v>3.2</v>
      </c>
      <c r="AL50" s="212">
        <f t="shared" si="14"/>
        <v>0.48</v>
      </c>
      <c r="AM50" s="207">
        <v>30</v>
      </c>
      <c r="AN50" s="207">
        <v>32</v>
      </c>
      <c r="AO50" s="96">
        <f t="shared" si="15"/>
        <v>62</v>
      </c>
      <c r="AP50" s="209">
        <f>ROUND(AVERAGE(5-4*(AO50)/(AO9)),1)</f>
        <v>2.5</v>
      </c>
      <c r="AQ50" s="215">
        <f t="shared" si="16"/>
        <v>0.375</v>
      </c>
      <c r="AR50" s="207">
        <v>36</v>
      </c>
      <c r="AS50" s="207">
        <v>30</v>
      </c>
      <c r="AT50" s="96">
        <f t="shared" si="17"/>
        <v>66</v>
      </c>
      <c r="AU50" s="213">
        <f>ROUND(AVERAGE(5-4*(AT50)/(AT9)),1)</f>
        <v>2.4</v>
      </c>
      <c r="AV50" s="214">
        <f t="shared" si="18"/>
        <v>0.36</v>
      </c>
      <c r="AW50" s="207">
        <v>90</v>
      </c>
      <c r="AX50" s="207">
        <v>90</v>
      </c>
      <c r="AY50" s="207">
        <v>90</v>
      </c>
      <c r="AZ50" s="93">
        <f t="shared" si="19"/>
        <v>270</v>
      </c>
      <c r="BA50" s="213">
        <f>ROUND(AVERAGE(5-4*(AZ50)/(AZ9)),1)</f>
        <v>1.4</v>
      </c>
      <c r="BB50" s="214">
        <f t="shared" si="20"/>
        <v>0.21</v>
      </c>
      <c r="BC50" s="216">
        <v>27</v>
      </c>
      <c r="BD50" s="213">
        <f>5-(4*BC50/BC9)</f>
        <v>1</v>
      </c>
      <c r="BE50" s="214">
        <f t="shared" si="21"/>
        <v>0.1</v>
      </c>
      <c r="BF50" s="206">
        <v>35</v>
      </c>
      <c r="BG50" s="217">
        <f>ROUND(AVERAGE(5-4*(BF50)/(BF9)),1)</f>
        <v>3</v>
      </c>
      <c r="BH50" s="214">
        <f t="shared" si="22"/>
        <v>0.89999999999999991</v>
      </c>
      <c r="BI50" s="165">
        <f t="shared" si="23"/>
        <v>2.83</v>
      </c>
      <c r="BJ50" s="216">
        <f t="shared" si="24"/>
        <v>2.4249999999999998</v>
      </c>
      <c r="BK50" s="216">
        <f t="shared" si="25"/>
        <v>2.6274999999999999</v>
      </c>
      <c r="BL50" s="81" t="s">
        <v>91</v>
      </c>
    </row>
    <row r="51" spans="1:64" ht="12.75" customHeight="1" x14ac:dyDescent="0.3">
      <c r="A51" s="63">
        <v>41</v>
      </c>
      <c r="B51" s="273" t="s">
        <v>181</v>
      </c>
      <c r="C51" s="237" t="s">
        <v>182</v>
      </c>
      <c r="D51" s="202">
        <v>41</v>
      </c>
      <c r="E51" s="202">
        <v>36</v>
      </c>
      <c r="F51" s="207">
        <f t="shared" si="0"/>
        <v>77</v>
      </c>
      <c r="G51" s="267">
        <f>ROUND(AVERAGE(5-4*(F51)/(F9)),1)</f>
        <v>1.9</v>
      </c>
      <c r="H51" s="251">
        <f t="shared" si="26"/>
        <v>0.28499999999999998</v>
      </c>
      <c r="I51" s="263"/>
      <c r="J51" s="263"/>
      <c r="K51" s="205">
        <v>37</v>
      </c>
      <c r="L51" s="205">
        <v>30</v>
      </c>
      <c r="M51" s="206">
        <f t="shared" si="3"/>
        <v>67</v>
      </c>
      <c r="N51" s="267">
        <f>ROUND(AVERAGE(5-4*(M51)/(M9)),1)</f>
        <v>2.2999999999999998</v>
      </c>
      <c r="O51" s="212">
        <f t="shared" si="4"/>
        <v>0.34499999999999997</v>
      </c>
      <c r="P51" s="263"/>
      <c r="Q51" s="263"/>
      <c r="R51" s="202">
        <v>37</v>
      </c>
      <c r="S51" s="202">
        <v>33</v>
      </c>
      <c r="T51" s="207">
        <f t="shared" si="5"/>
        <v>70</v>
      </c>
      <c r="U51" s="209">
        <f>ROUND(AVERAGE(5-4*(T51)/(T9)),1)</f>
        <v>2.2000000000000002</v>
      </c>
      <c r="V51" s="212">
        <f t="shared" si="6"/>
        <v>0.33</v>
      </c>
      <c r="W51" s="202">
        <v>100</v>
      </c>
      <c r="X51" s="208">
        <v>85</v>
      </c>
      <c r="Y51" s="203">
        <f t="shared" si="7"/>
        <v>185</v>
      </c>
      <c r="Z51" s="209">
        <f>ROUND(AVERAGE(5-4*(Y51)/(Y9)),1)</f>
        <v>1.3</v>
      </c>
      <c r="AA51" s="212">
        <f t="shared" si="8"/>
        <v>0.19500000000000001</v>
      </c>
      <c r="AB51" s="218">
        <v>27</v>
      </c>
      <c r="AC51" s="209">
        <f t="shared" si="9"/>
        <v>1</v>
      </c>
      <c r="AD51" s="212">
        <f t="shared" si="10"/>
        <v>0.1</v>
      </c>
      <c r="AE51" s="202">
        <v>42</v>
      </c>
      <c r="AF51" s="211">
        <f t="shared" si="11"/>
        <v>2.6</v>
      </c>
      <c r="AG51" s="212">
        <f t="shared" si="12"/>
        <v>0.78</v>
      </c>
      <c r="AH51" s="203">
        <v>25</v>
      </c>
      <c r="AI51" s="207">
        <v>34</v>
      </c>
      <c r="AJ51" s="203">
        <f t="shared" si="13"/>
        <v>59</v>
      </c>
      <c r="AK51" s="209">
        <f>ROUND(AVERAGE(5-4*(AJ51)/(AJ9)),1)</f>
        <v>2.6</v>
      </c>
      <c r="AL51" s="212">
        <f t="shared" si="14"/>
        <v>0.39</v>
      </c>
      <c r="AM51" s="207">
        <v>30</v>
      </c>
      <c r="AN51" s="207">
        <v>31</v>
      </c>
      <c r="AO51" s="96">
        <f t="shared" si="15"/>
        <v>61</v>
      </c>
      <c r="AP51" s="209">
        <f>ROUND(AVERAGE(5-4*(AO51)/(AO9)),1)</f>
        <v>2.6</v>
      </c>
      <c r="AQ51" s="215">
        <f t="shared" si="16"/>
        <v>0.39</v>
      </c>
      <c r="AR51" s="207">
        <v>32</v>
      </c>
      <c r="AS51" s="207">
        <v>30</v>
      </c>
      <c r="AT51" s="96">
        <f t="shared" si="17"/>
        <v>62</v>
      </c>
      <c r="AU51" s="213">
        <f>ROUND(AVERAGE(5-4*(AT51)/(AT9)),1)</f>
        <v>2.5</v>
      </c>
      <c r="AV51" s="214">
        <f t="shared" si="18"/>
        <v>0.375</v>
      </c>
      <c r="AW51" s="207">
        <v>90</v>
      </c>
      <c r="AX51" s="207">
        <v>95</v>
      </c>
      <c r="AY51" s="207">
        <v>90</v>
      </c>
      <c r="AZ51" s="93">
        <f t="shared" si="19"/>
        <v>275</v>
      </c>
      <c r="BA51" s="213">
        <f>ROUND(AVERAGE(5-4*(AZ51)/(AZ9)),1)</f>
        <v>1.3</v>
      </c>
      <c r="BB51" s="214">
        <f t="shared" si="20"/>
        <v>0.19500000000000001</v>
      </c>
      <c r="BC51" s="216">
        <v>27</v>
      </c>
      <c r="BD51" s="213">
        <f>5-(4*BC51/BC9)</f>
        <v>1</v>
      </c>
      <c r="BE51" s="214">
        <f t="shared" si="21"/>
        <v>0.1</v>
      </c>
      <c r="BF51" s="206">
        <v>43</v>
      </c>
      <c r="BG51" s="217">
        <f>ROUND(AVERAGE(5-4*(BF51)/(BF9)),1)</f>
        <v>2.5</v>
      </c>
      <c r="BH51" s="242">
        <f t="shared" si="22"/>
        <v>0.75</v>
      </c>
      <c r="BI51" s="165">
        <f t="shared" si="23"/>
        <v>2.0350000000000001</v>
      </c>
      <c r="BJ51" s="216">
        <f>AL51+AQ51+AV51+BB51+BE51+BH51</f>
        <v>2.2000000000000002</v>
      </c>
      <c r="BK51" s="216">
        <f t="shared" si="25"/>
        <v>2.1175000000000002</v>
      </c>
      <c r="BL51" s="81" t="s">
        <v>91</v>
      </c>
    </row>
    <row r="52" spans="1:64" x14ac:dyDescent="0.3">
      <c r="A52" s="63">
        <v>42</v>
      </c>
      <c r="B52" s="273" t="s">
        <v>183</v>
      </c>
      <c r="C52" s="237" t="s">
        <v>184</v>
      </c>
      <c r="D52" s="241">
        <v>34</v>
      </c>
      <c r="E52" s="241">
        <v>18</v>
      </c>
      <c r="F52" s="207">
        <f t="shared" si="0"/>
        <v>52</v>
      </c>
      <c r="G52" s="267">
        <f>ROUND(AVERAGE(5-4*(F52)/(F9)),1)</f>
        <v>2.9</v>
      </c>
      <c r="H52" s="251">
        <f t="shared" si="26"/>
        <v>0.435</v>
      </c>
      <c r="I52" s="263"/>
      <c r="J52" s="263"/>
      <c r="K52" s="244">
        <v>30</v>
      </c>
      <c r="L52" s="244">
        <v>33</v>
      </c>
      <c r="M52" s="206">
        <f t="shared" si="3"/>
        <v>63</v>
      </c>
      <c r="N52" s="267">
        <f>ROUND(AVERAGE(5-4*(M52)/(M9)),1)</f>
        <v>2.5</v>
      </c>
      <c r="O52" s="212">
        <f t="shared" si="4"/>
        <v>0.375</v>
      </c>
      <c r="P52" s="263"/>
      <c r="Q52" s="263"/>
      <c r="R52" s="241">
        <v>28</v>
      </c>
      <c r="S52" s="241">
        <v>33</v>
      </c>
      <c r="T52" s="207">
        <f t="shared" si="5"/>
        <v>61</v>
      </c>
      <c r="U52" s="209">
        <f>ROUND(AVERAGE(5-4*(T52)/(T9)),1)</f>
        <v>2.6</v>
      </c>
      <c r="V52" s="212">
        <f t="shared" si="6"/>
        <v>0.39</v>
      </c>
      <c r="W52" s="241">
        <v>85</v>
      </c>
      <c r="X52" s="241">
        <v>80</v>
      </c>
      <c r="Y52" s="203">
        <f t="shared" si="7"/>
        <v>165</v>
      </c>
      <c r="Z52" s="209">
        <f>ROUND(AVERAGE(5-4*(Y52)/(Y9)),1)</f>
        <v>1.7</v>
      </c>
      <c r="AA52" s="212">
        <f t="shared" si="8"/>
        <v>0.255</v>
      </c>
      <c r="AB52" s="218">
        <v>27</v>
      </c>
      <c r="AC52" s="209">
        <f t="shared" si="9"/>
        <v>1</v>
      </c>
      <c r="AD52" s="212">
        <f t="shared" si="10"/>
        <v>0.1</v>
      </c>
      <c r="AE52" s="241">
        <v>19</v>
      </c>
      <c r="AF52" s="211">
        <f t="shared" si="11"/>
        <v>3.9</v>
      </c>
      <c r="AG52" s="212">
        <f t="shared" si="12"/>
        <v>1.17</v>
      </c>
      <c r="AH52" s="203">
        <v>25</v>
      </c>
      <c r="AI52" s="207">
        <v>29</v>
      </c>
      <c r="AJ52" s="203">
        <f t="shared" si="13"/>
        <v>54</v>
      </c>
      <c r="AK52" s="209">
        <f>ROUND(AVERAGE(5-4*(AJ52)/(AJ9)),1)</f>
        <v>2.8</v>
      </c>
      <c r="AL52" s="212">
        <f t="shared" si="14"/>
        <v>0.42</v>
      </c>
      <c r="AM52" s="207">
        <v>32</v>
      </c>
      <c r="AN52" s="207">
        <v>30</v>
      </c>
      <c r="AO52" s="96">
        <f t="shared" si="15"/>
        <v>62</v>
      </c>
      <c r="AP52" s="209">
        <f>ROUND(AVERAGE(5-4*(AO52)/(AO9)),1)</f>
        <v>2.5</v>
      </c>
      <c r="AQ52" s="214">
        <f t="shared" si="16"/>
        <v>0.375</v>
      </c>
      <c r="AR52" s="207">
        <v>30</v>
      </c>
      <c r="AS52" s="207">
        <v>34</v>
      </c>
      <c r="AT52" s="96">
        <f t="shared" si="17"/>
        <v>64</v>
      </c>
      <c r="AU52" s="213">
        <f>ROUND(AVERAGE(5-4*(AT52)/(AT9)),1)</f>
        <v>2.4</v>
      </c>
      <c r="AV52" s="214">
        <f t="shared" si="18"/>
        <v>0.36</v>
      </c>
      <c r="AW52" s="207">
        <v>85</v>
      </c>
      <c r="AX52" s="207">
        <v>80</v>
      </c>
      <c r="AY52" s="207">
        <v>80</v>
      </c>
      <c r="AZ52" s="93">
        <v>245</v>
      </c>
      <c r="BA52" s="213">
        <f>ROUND(AVERAGE(5-4*(AZ52)/(AZ9)),1)</f>
        <v>1.7</v>
      </c>
      <c r="BB52" s="214">
        <f t="shared" si="20"/>
        <v>0.255</v>
      </c>
      <c r="BC52" s="216">
        <v>27</v>
      </c>
      <c r="BD52" s="213">
        <f>5-(4*BC52/BC9)</f>
        <v>1</v>
      </c>
      <c r="BE52" s="214">
        <f t="shared" si="21"/>
        <v>0.1</v>
      </c>
      <c r="BF52" s="206">
        <v>29</v>
      </c>
      <c r="BG52" s="217">
        <f>ROUND(AVERAGE(5-4*(BF52)/(BF9)),1)</f>
        <v>3.3</v>
      </c>
      <c r="BH52" s="242">
        <f>BG52*0.3</f>
        <v>0.98999999999999988</v>
      </c>
      <c r="BI52" s="165">
        <f t="shared" si="23"/>
        <v>2.7250000000000001</v>
      </c>
      <c r="BJ52" s="216">
        <f>AL52+AQ52+AV52+BB52+BE52+BH52</f>
        <v>2.4999999999999996</v>
      </c>
      <c r="BK52" s="216">
        <f t="shared" si="25"/>
        <v>2.6124999999999998</v>
      </c>
      <c r="BL52" s="81" t="s">
        <v>91</v>
      </c>
    </row>
    <row r="53" spans="1:64" x14ac:dyDescent="0.3">
      <c r="A53" s="387">
        <v>43</v>
      </c>
      <c r="B53" s="328" t="s">
        <v>185</v>
      </c>
      <c r="C53" s="329" t="s">
        <v>186</v>
      </c>
      <c r="D53" s="330">
        <v>34</v>
      </c>
      <c r="E53" s="330"/>
      <c r="F53" s="331">
        <f t="shared" si="0"/>
        <v>34</v>
      </c>
      <c r="G53" s="332">
        <f>ROUND(AVERAGE(5-4*(F53)/(F9)),1)</f>
        <v>3.6</v>
      </c>
      <c r="H53" s="333">
        <f t="shared" si="26"/>
        <v>0.54</v>
      </c>
      <c r="I53" s="334"/>
      <c r="J53" s="334"/>
      <c r="K53" s="335"/>
      <c r="L53" s="335"/>
      <c r="M53" s="336"/>
      <c r="N53" s="332">
        <f>ROUND(AVERAGE(5-4*(M53)/(M9)),1)</f>
        <v>5</v>
      </c>
      <c r="O53" s="337">
        <f t="shared" si="4"/>
        <v>0.75</v>
      </c>
      <c r="P53" s="334"/>
      <c r="Q53" s="334"/>
      <c r="R53" s="330"/>
      <c r="S53" s="330"/>
      <c r="T53" s="331"/>
      <c r="U53" s="341">
        <f>ROUND(AVERAGE(5-4*(T53)/(T9)),1)</f>
        <v>5</v>
      </c>
      <c r="V53" s="337">
        <f t="shared" si="6"/>
        <v>0.75</v>
      </c>
      <c r="W53" s="330"/>
      <c r="X53" s="339"/>
      <c r="Y53" s="340"/>
      <c r="Z53" s="341">
        <f>ROUND(AVERAGE(5-4*(Y53)/(Y9)),1)</f>
        <v>5</v>
      </c>
      <c r="AA53" s="337">
        <f t="shared" si="8"/>
        <v>0.75</v>
      </c>
      <c r="AB53" s="342">
        <v>19.5</v>
      </c>
      <c r="AC53" s="341">
        <f t="shared" si="9"/>
        <v>2.1111111111111112</v>
      </c>
      <c r="AD53" s="337">
        <f t="shared" si="10"/>
        <v>0.21111111111111114</v>
      </c>
      <c r="AE53" s="330"/>
      <c r="AF53" s="343">
        <f t="shared" si="11"/>
        <v>5</v>
      </c>
      <c r="AG53" s="337">
        <f t="shared" si="12"/>
        <v>1.5</v>
      </c>
      <c r="AH53" s="340"/>
      <c r="AI53" s="331"/>
      <c r="AJ53" s="340"/>
      <c r="AK53" s="341">
        <f>ROUND(AVERAGE(5-4*(AJ53)/(AJ9)),1)</f>
        <v>5</v>
      </c>
      <c r="AL53" s="337">
        <f>AK53*0.15</f>
        <v>0.75</v>
      </c>
      <c r="AM53" s="331"/>
      <c r="AN53" s="331"/>
      <c r="AO53" s="340"/>
      <c r="AP53" s="341">
        <f>ROUND(AVERAGE(5-4*(AO53)/(AO9)),1)</f>
        <v>5</v>
      </c>
      <c r="AQ53" s="344">
        <f t="shared" si="16"/>
        <v>0.75</v>
      </c>
      <c r="AR53" s="331"/>
      <c r="AS53" s="331"/>
      <c r="AT53" s="340"/>
      <c r="AU53" s="345">
        <f>ROUND(AVERAGE(5-4*(AT53)/(AT9)),1)</f>
        <v>5</v>
      </c>
      <c r="AV53" s="346">
        <f t="shared" si="18"/>
        <v>0.75</v>
      </c>
      <c r="AW53" s="331"/>
      <c r="AX53" s="331"/>
      <c r="AY53" s="331"/>
      <c r="AZ53" s="331"/>
      <c r="BA53" s="345">
        <f>ROUND(AVERAGE(5-4*(AZ53)/(AZ9)),1)</f>
        <v>5</v>
      </c>
      <c r="BB53" s="346">
        <f t="shared" si="20"/>
        <v>0.75</v>
      </c>
      <c r="BC53" s="348"/>
      <c r="BD53" s="345">
        <f>5-(4*BC53/BC9)</f>
        <v>5</v>
      </c>
      <c r="BE53" s="346">
        <f t="shared" si="21"/>
        <v>0.5</v>
      </c>
      <c r="BF53" s="336"/>
      <c r="BG53" s="349">
        <f>ROUND(AVERAGE(5-4*(BF53)/(BF9)),1)</f>
        <v>5</v>
      </c>
      <c r="BH53" s="347">
        <f t="shared" si="22"/>
        <v>1.5</v>
      </c>
      <c r="BI53" s="348" t="s">
        <v>93</v>
      </c>
      <c r="BJ53" s="348" t="s">
        <v>93</v>
      </c>
      <c r="BK53" s="348" t="s">
        <v>95</v>
      </c>
      <c r="BL53" s="350">
        <v>45992</v>
      </c>
    </row>
    <row r="54" spans="1:64" ht="14.25" customHeight="1" x14ac:dyDescent="0.3">
      <c r="A54" s="63">
        <v>44</v>
      </c>
      <c r="B54" s="273" t="s">
        <v>187</v>
      </c>
      <c r="C54" s="237" t="s">
        <v>188</v>
      </c>
      <c r="D54" s="202">
        <v>17</v>
      </c>
      <c r="E54" s="202">
        <v>24</v>
      </c>
      <c r="F54" s="207">
        <f t="shared" si="0"/>
        <v>41</v>
      </c>
      <c r="G54" s="267">
        <f>ROUND(AVERAGE(5-4*(F54)/(F9)),1)</f>
        <v>3.4</v>
      </c>
      <c r="H54" s="251">
        <f t="shared" si="26"/>
        <v>0.51</v>
      </c>
      <c r="I54" s="263"/>
      <c r="J54" s="263"/>
      <c r="K54" s="205">
        <v>35</v>
      </c>
      <c r="L54" s="205">
        <v>35</v>
      </c>
      <c r="M54" s="206">
        <f t="shared" si="3"/>
        <v>70</v>
      </c>
      <c r="N54" s="267">
        <f>ROUND(AVERAGE(5-4*(M54)/(M9)),1)</f>
        <v>2.2000000000000002</v>
      </c>
      <c r="O54" s="212">
        <f t="shared" si="4"/>
        <v>0.33</v>
      </c>
      <c r="P54" s="263"/>
      <c r="Q54" s="263"/>
      <c r="R54" s="202">
        <v>30</v>
      </c>
      <c r="S54" s="202">
        <v>32</v>
      </c>
      <c r="T54" s="207">
        <f t="shared" si="5"/>
        <v>62</v>
      </c>
      <c r="U54" s="209">
        <f>ROUND(AVERAGE(5-4*(T54)/(T9)),1)</f>
        <v>2.5</v>
      </c>
      <c r="V54" s="212">
        <f t="shared" si="6"/>
        <v>0.375</v>
      </c>
      <c r="W54" s="202">
        <v>87</v>
      </c>
      <c r="X54" s="208">
        <v>80</v>
      </c>
      <c r="Y54" s="203">
        <f t="shared" si="7"/>
        <v>167</v>
      </c>
      <c r="Z54" s="209">
        <f>ROUND(AVERAGE(5-4*(Y54)/(Y9)),1)</f>
        <v>1.7</v>
      </c>
      <c r="AA54" s="212">
        <f t="shared" si="8"/>
        <v>0.255</v>
      </c>
      <c r="AB54" s="218">
        <v>27</v>
      </c>
      <c r="AC54" s="209">
        <f t="shared" si="9"/>
        <v>1</v>
      </c>
      <c r="AD54" s="212">
        <f t="shared" si="10"/>
        <v>0.1</v>
      </c>
      <c r="AE54" s="202">
        <v>30</v>
      </c>
      <c r="AF54" s="211">
        <f t="shared" si="11"/>
        <v>3.3</v>
      </c>
      <c r="AG54" s="212">
        <f t="shared" si="12"/>
        <v>0.98999999999999988</v>
      </c>
      <c r="AH54" s="203">
        <v>24</v>
      </c>
      <c r="AI54" s="207">
        <v>31</v>
      </c>
      <c r="AJ54" s="203">
        <f t="shared" si="13"/>
        <v>55</v>
      </c>
      <c r="AK54" s="209">
        <f>ROUND(AVERAGE(5-4*(AJ54)/(AJ9)),1)</f>
        <v>2.8</v>
      </c>
      <c r="AL54" s="212">
        <f t="shared" si="14"/>
        <v>0.42</v>
      </c>
      <c r="AM54" s="207">
        <v>30</v>
      </c>
      <c r="AN54" s="207">
        <v>30</v>
      </c>
      <c r="AO54" s="96">
        <f t="shared" si="15"/>
        <v>60</v>
      </c>
      <c r="AP54" s="209">
        <f>ROUND(AVERAGE(5-4*(AO54)/(AO9)),1)</f>
        <v>2.6</v>
      </c>
      <c r="AQ54" s="215">
        <f>AP54*0.15</f>
        <v>0.39</v>
      </c>
      <c r="AR54" s="207">
        <v>45</v>
      </c>
      <c r="AS54" s="207">
        <v>40</v>
      </c>
      <c r="AT54" s="96">
        <f t="shared" si="17"/>
        <v>85</v>
      </c>
      <c r="AU54" s="213">
        <f>ROUND(AVERAGE(5-4*(AT54)/(AT9)),1)</f>
        <v>1.6</v>
      </c>
      <c r="AV54" s="214">
        <f t="shared" si="18"/>
        <v>0.24</v>
      </c>
      <c r="AW54" s="207">
        <v>82</v>
      </c>
      <c r="AX54" s="207">
        <v>84</v>
      </c>
      <c r="AY54" s="207">
        <v>95</v>
      </c>
      <c r="AZ54" s="93">
        <f t="shared" si="19"/>
        <v>261</v>
      </c>
      <c r="BA54" s="213">
        <f>ROUND(AVERAGE(5-4*(AZ54)/(AZ9)),1)</f>
        <v>1.5</v>
      </c>
      <c r="BB54" s="214">
        <f t="shared" si="20"/>
        <v>0.22499999999999998</v>
      </c>
      <c r="BC54" s="216">
        <v>27</v>
      </c>
      <c r="BD54" s="213">
        <f>5-(4*BC54/BC9)</f>
        <v>1</v>
      </c>
      <c r="BE54" s="214">
        <f t="shared" si="21"/>
        <v>0.1</v>
      </c>
      <c r="BF54" s="206">
        <v>43</v>
      </c>
      <c r="BG54" s="217">
        <f>ROUND(AVERAGE(5-4*(BF54)/(BF9)),1)</f>
        <v>2.5</v>
      </c>
      <c r="BH54" s="214">
        <f t="shared" si="22"/>
        <v>0.75</v>
      </c>
      <c r="BI54" s="165">
        <f t="shared" si="23"/>
        <v>2.56</v>
      </c>
      <c r="BJ54" s="216">
        <f t="shared" ref="BJ54:BJ71" si="28">AL54+AQ54+AV54+BB54+BE54+BH54</f>
        <v>2.125</v>
      </c>
      <c r="BK54" s="216">
        <f t="shared" si="25"/>
        <v>2.3425000000000002</v>
      </c>
      <c r="BL54" s="81" t="s">
        <v>91</v>
      </c>
    </row>
    <row r="55" spans="1:64" x14ac:dyDescent="0.3">
      <c r="A55" s="63">
        <v>45</v>
      </c>
      <c r="B55" s="273" t="s">
        <v>189</v>
      </c>
      <c r="C55" s="237" t="s">
        <v>190</v>
      </c>
      <c r="D55" s="86">
        <v>35</v>
      </c>
      <c r="E55" s="86">
        <v>29</v>
      </c>
      <c r="F55" s="93">
        <f t="shared" si="0"/>
        <v>64</v>
      </c>
      <c r="G55" s="266">
        <f>ROUND(AVERAGE(5-4*(F55)/(F9)),1)</f>
        <v>2.4</v>
      </c>
      <c r="H55" s="245">
        <f t="shared" si="26"/>
        <v>0.36</v>
      </c>
      <c r="I55" s="250"/>
      <c r="J55" s="250"/>
      <c r="K55" s="78">
        <v>36</v>
      </c>
      <c r="L55" s="78">
        <v>31</v>
      </c>
      <c r="M55" s="81">
        <f t="shared" si="3"/>
        <v>67</v>
      </c>
      <c r="N55" s="266">
        <f>ROUND(AVERAGE(5-4*(M55)/(M9)),1)</f>
        <v>2.2999999999999998</v>
      </c>
      <c r="O55" s="108">
        <f t="shared" si="4"/>
        <v>0.34499999999999997</v>
      </c>
      <c r="P55" s="250"/>
      <c r="Q55" s="250"/>
      <c r="R55" s="86">
        <v>30</v>
      </c>
      <c r="S55" s="86">
        <v>33</v>
      </c>
      <c r="T55" s="93">
        <f t="shared" si="5"/>
        <v>63</v>
      </c>
      <c r="U55" s="106">
        <f>ROUND(AVERAGE(5-4*(T55)/(T9)),1)</f>
        <v>2.5</v>
      </c>
      <c r="V55" s="108">
        <f t="shared" si="6"/>
        <v>0.375</v>
      </c>
      <c r="W55" s="86">
        <v>87</v>
      </c>
      <c r="X55" s="95">
        <v>84</v>
      </c>
      <c r="Y55" s="96">
        <f t="shared" si="7"/>
        <v>171</v>
      </c>
      <c r="Z55" s="106">
        <f>ROUND(AVERAGE(5-4*(Y55)/(Y9)),1)</f>
        <v>1.6</v>
      </c>
      <c r="AA55" s="108">
        <f t="shared" si="8"/>
        <v>0.24</v>
      </c>
      <c r="AB55" s="98">
        <v>27</v>
      </c>
      <c r="AC55" s="106">
        <f t="shared" si="9"/>
        <v>1</v>
      </c>
      <c r="AD55" s="108">
        <f t="shared" si="10"/>
        <v>0.1</v>
      </c>
      <c r="AE55" s="86">
        <v>35</v>
      </c>
      <c r="AF55" s="107">
        <f t="shared" si="11"/>
        <v>3</v>
      </c>
      <c r="AG55" s="108">
        <f t="shared" si="12"/>
        <v>0.89999999999999991</v>
      </c>
      <c r="AH55" s="96">
        <v>26</v>
      </c>
      <c r="AI55" s="93">
        <v>15</v>
      </c>
      <c r="AJ55" s="96">
        <f>SUM(AH55+AI55)</f>
        <v>41</v>
      </c>
      <c r="AK55" s="106">
        <f>ROUND(AVERAGE(5-4*(AJ55)/(AJ9)),1)</f>
        <v>3.4</v>
      </c>
      <c r="AL55" s="108">
        <f t="shared" si="14"/>
        <v>0.51</v>
      </c>
      <c r="AM55" s="93">
        <v>32</v>
      </c>
      <c r="AN55" s="93">
        <v>32</v>
      </c>
      <c r="AO55" s="96">
        <f t="shared" si="15"/>
        <v>64</v>
      </c>
      <c r="AP55" s="106">
        <f>ROUND(AVERAGE(5-4*(AO55)/(AO9)),1)</f>
        <v>2.4</v>
      </c>
      <c r="AQ55" s="158">
        <f t="shared" si="16"/>
        <v>0.36</v>
      </c>
      <c r="AR55" s="93">
        <v>30</v>
      </c>
      <c r="AS55" s="93">
        <v>34</v>
      </c>
      <c r="AT55" s="96">
        <f t="shared" si="17"/>
        <v>64</v>
      </c>
      <c r="AU55" s="148">
        <f>ROUND(AVERAGE(5-4*(AT55)/(AT9)),1)</f>
        <v>2.4</v>
      </c>
      <c r="AV55" s="149">
        <f t="shared" si="18"/>
        <v>0.36</v>
      </c>
      <c r="AW55" s="93">
        <v>85</v>
      </c>
      <c r="AX55" s="93">
        <v>87</v>
      </c>
      <c r="AY55" s="93">
        <v>80</v>
      </c>
      <c r="AZ55" s="93">
        <f t="shared" si="19"/>
        <v>252</v>
      </c>
      <c r="BA55" s="148">
        <f>ROUND(AVERAGE(5-4*(AZ55)/(AZ9)),1)</f>
        <v>1.6</v>
      </c>
      <c r="BB55" s="149">
        <f>BA55*0.15</f>
        <v>0.24</v>
      </c>
      <c r="BC55" s="165">
        <v>27</v>
      </c>
      <c r="BD55" s="148">
        <f>5-(4*BC55/BC9)</f>
        <v>1</v>
      </c>
      <c r="BE55" s="149">
        <f t="shared" si="21"/>
        <v>0.1</v>
      </c>
      <c r="BF55" s="81">
        <v>42</v>
      </c>
      <c r="BG55" s="217">
        <f>ROUND(AVERAGE(5-4*(BF55)/(BF9)),1)</f>
        <v>2.6</v>
      </c>
      <c r="BH55" s="151">
        <f t="shared" si="22"/>
        <v>0.78</v>
      </c>
      <c r="BI55" s="165">
        <f t="shared" si="23"/>
        <v>2.3200000000000003</v>
      </c>
      <c r="BJ55" s="165">
        <f t="shared" si="28"/>
        <v>2.35</v>
      </c>
      <c r="BK55" s="165">
        <f t="shared" si="25"/>
        <v>2.335</v>
      </c>
      <c r="BL55" s="81" t="s">
        <v>91</v>
      </c>
    </row>
    <row r="56" spans="1:64" ht="15.75" customHeight="1" x14ac:dyDescent="0.3">
      <c r="A56" s="63">
        <v>46</v>
      </c>
      <c r="B56" s="273" t="s">
        <v>191</v>
      </c>
      <c r="C56" s="237" t="s">
        <v>192</v>
      </c>
      <c r="D56" s="86">
        <v>47</v>
      </c>
      <c r="E56" s="86">
        <v>38</v>
      </c>
      <c r="F56" s="93">
        <f t="shared" si="0"/>
        <v>85</v>
      </c>
      <c r="G56" s="266">
        <f>ROUND(AVERAGE(5-4*(F56)/(F9)),1)</f>
        <v>1.6</v>
      </c>
      <c r="H56" s="245">
        <f t="shared" si="26"/>
        <v>0.24</v>
      </c>
      <c r="I56" s="250"/>
      <c r="J56" s="250"/>
      <c r="K56" s="78">
        <v>39</v>
      </c>
      <c r="L56" s="78">
        <v>35</v>
      </c>
      <c r="M56" s="81">
        <f t="shared" si="3"/>
        <v>74</v>
      </c>
      <c r="N56" s="266">
        <f>ROUND(AVERAGE(5-4*(M56)/(M9)),1)</f>
        <v>2</v>
      </c>
      <c r="O56" s="108">
        <f t="shared" si="4"/>
        <v>0.3</v>
      </c>
      <c r="P56" s="250"/>
      <c r="Q56" s="250"/>
      <c r="R56" s="86">
        <v>34</v>
      </c>
      <c r="S56" s="86">
        <v>30</v>
      </c>
      <c r="T56" s="93">
        <f t="shared" si="5"/>
        <v>64</v>
      </c>
      <c r="U56" s="106">
        <f>ROUND(AVERAGE(5-4*(T56)/(T9)),1)</f>
        <v>2.4</v>
      </c>
      <c r="V56" s="108">
        <f t="shared" si="6"/>
        <v>0.36</v>
      </c>
      <c r="W56" s="86">
        <v>95</v>
      </c>
      <c r="X56" s="95">
        <v>90</v>
      </c>
      <c r="Y56" s="96">
        <f t="shared" si="7"/>
        <v>185</v>
      </c>
      <c r="Z56" s="106">
        <f>ROUND(AVERAGE(5-4*(Y56)/(Y9)),1)</f>
        <v>1.3</v>
      </c>
      <c r="AA56" s="108">
        <f t="shared" si="8"/>
        <v>0.19500000000000001</v>
      </c>
      <c r="AB56" s="98">
        <v>27</v>
      </c>
      <c r="AC56" s="106">
        <f t="shared" si="9"/>
        <v>1</v>
      </c>
      <c r="AD56" s="108">
        <f t="shared" si="10"/>
        <v>0.1</v>
      </c>
      <c r="AE56" s="86">
        <v>25</v>
      </c>
      <c r="AF56" s="107">
        <f t="shared" si="11"/>
        <v>3.6</v>
      </c>
      <c r="AG56" s="108">
        <f t="shared" si="12"/>
        <v>1.08</v>
      </c>
      <c r="AH56" s="96">
        <v>35</v>
      </c>
      <c r="AI56" s="93">
        <v>34</v>
      </c>
      <c r="AJ56" s="96">
        <f t="shared" si="13"/>
        <v>69</v>
      </c>
      <c r="AK56" s="106">
        <f>ROUND(AVERAGE(5-4*(AJ56)/(AJ9)),1)</f>
        <v>2.2000000000000002</v>
      </c>
      <c r="AL56" s="108">
        <f t="shared" si="14"/>
        <v>0.33</v>
      </c>
      <c r="AM56" s="93">
        <v>37</v>
      </c>
      <c r="AN56" s="93">
        <v>44</v>
      </c>
      <c r="AO56" s="96">
        <f t="shared" si="15"/>
        <v>81</v>
      </c>
      <c r="AP56" s="106">
        <f>ROUND(AVERAGE(5-4*(AO56)/(AO9)),1)</f>
        <v>1.8</v>
      </c>
      <c r="AQ56" s="158">
        <f t="shared" si="16"/>
        <v>0.27</v>
      </c>
      <c r="AR56" s="93">
        <v>45</v>
      </c>
      <c r="AS56" s="93">
        <v>45</v>
      </c>
      <c r="AT56" s="96">
        <f t="shared" si="17"/>
        <v>90</v>
      </c>
      <c r="AU56" s="148">
        <f>ROUND(AVERAGE(5-4*(AT56)/(AT9)),1)</f>
        <v>1.4</v>
      </c>
      <c r="AV56" s="149">
        <f t="shared" si="18"/>
        <v>0.21</v>
      </c>
      <c r="AW56" s="93">
        <v>100</v>
      </c>
      <c r="AX56" s="93">
        <v>100</v>
      </c>
      <c r="AY56" s="93">
        <v>90</v>
      </c>
      <c r="AZ56" s="93">
        <f t="shared" si="19"/>
        <v>290</v>
      </c>
      <c r="BA56" s="148">
        <f>ROUND(AVERAGE(5-4*(AZ56)/(AZ9)),1)</f>
        <v>1.1000000000000001</v>
      </c>
      <c r="BB56" s="149">
        <f t="shared" si="20"/>
        <v>0.16500000000000001</v>
      </c>
      <c r="BC56" s="165">
        <v>27</v>
      </c>
      <c r="BD56" s="148">
        <f>5-(4*BC56/BC9)</f>
        <v>1</v>
      </c>
      <c r="BE56" s="149">
        <f t="shared" si="21"/>
        <v>0.1</v>
      </c>
      <c r="BF56" s="81">
        <v>39</v>
      </c>
      <c r="BG56" s="217">
        <f>ROUND(AVERAGE(5-4*(BF56)/(BF9)),1)</f>
        <v>2.8</v>
      </c>
      <c r="BH56" s="151">
        <f t="shared" si="22"/>
        <v>0.84</v>
      </c>
      <c r="BI56" s="165">
        <f t="shared" si="23"/>
        <v>2.2750000000000004</v>
      </c>
      <c r="BJ56" s="165">
        <f t="shared" si="28"/>
        <v>1.915</v>
      </c>
      <c r="BK56" s="165">
        <f t="shared" si="25"/>
        <v>2.0950000000000002</v>
      </c>
      <c r="BL56" s="81" t="s">
        <v>91</v>
      </c>
    </row>
    <row r="57" spans="1:64" x14ac:dyDescent="0.3">
      <c r="A57" s="387">
        <v>47</v>
      </c>
      <c r="B57" s="328" t="s">
        <v>193</v>
      </c>
      <c r="C57" s="329" t="s">
        <v>194</v>
      </c>
      <c r="D57" s="330">
        <v>35</v>
      </c>
      <c r="E57" s="330">
        <v>41</v>
      </c>
      <c r="F57" s="331">
        <f t="shared" si="0"/>
        <v>76</v>
      </c>
      <c r="G57" s="332">
        <f>ROUND(AVERAGE(5-4*(F57)/(F9)),1)</f>
        <v>2</v>
      </c>
      <c r="H57" s="333">
        <f t="shared" si="26"/>
        <v>0.3</v>
      </c>
      <c r="I57" s="334"/>
      <c r="J57" s="334"/>
      <c r="K57" s="369"/>
      <c r="L57" s="369">
        <v>28</v>
      </c>
      <c r="M57" s="336">
        <f t="shared" si="3"/>
        <v>28</v>
      </c>
      <c r="N57" s="332">
        <f>ROUND(AVERAGE(5-4*(M57)/(M9)),1)</f>
        <v>3.9</v>
      </c>
      <c r="O57" s="337">
        <f t="shared" si="4"/>
        <v>0.58499999999999996</v>
      </c>
      <c r="P57" s="334"/>
      <c r="Q57" s="334"/>
      <c r="R57" s="330">
        <v>32</v>
      </c>
      <c r="S57" s="330">
        <v>28</v>
      </c>
      <c r="T57" s="331">
        <f t="shared" si="5"/>
        <v>60</v>
      </c>
      <c r="U57" s="341">
        <f>ROUND(AVERAGE(5-4*(T57)/(T9)),1)</f>
        <v>2.6</v>
      </c>
      <c r="V57" s="337">
        <f>U57*0.15</f>
        <v>0.39</v>
      </c>
      <c r="W57" s="370">
        <v>70</v>
      </c>
      <c r="X57" s="370"/>
      <c r="Y57" s="340">
        <f t="shared" si="7"/>
        <v>70</v>
      </c>
      <c r="Z57" s="341">
        <f>ROUND(AVERAGE(5-4*(Y57)/(Y9)),1)</f>
        <v>3.6</v>
      </c>
      <c r="AA57" s="337">
        <f t="shared" si="8"/>
        <v>0.54</v>
      </c>
      <c r="AB57" s="342">
        <v>19.5</v>
      </c>
      <c r="AC57" s="341">
        <f t="shared" si="9"/>
        <v>2.1111111111111112</v>
      </c>
      <c r="AD57" s="337">
        <f t="shared" si="10"/>
        <v>0.21111111111111114</v>
      </c>
      <c r="AE57" s="330">
        <v>27</v>
      </c>
      <c r="AF57" s="343">
        <f t="shared" si="11"/>
        <v>3.5</v>
      </c>
      <c r="AG57" s="337">
        <f>AF57*0.3</f>
        <v>1.05</v>
      </c>
      <c r="AH57" s="340"/>
      <c r="AI57" s="331">
        <v>32</v>
      </c>
      <c r="AJ57" s="340">
        <f t="shared" si="13"/>
        <v>32</v>
      </c>
      <c r="AK57" s="341">
        <f>ROUND(AVERAGE(5-4*(AJ57)/(AJ9)),1)</f>
        <v>3.7</v>
      </c>
      <c r="AL57" s="337">
        <f t="shared" si="14"/>
        <v>0.55500000000000005</v>
      </c>
      <c r="AM57" s="331"/>
      <c r="AN57" s="331"/>
      <c r="AO57" s="340"/>
      <c r="AP57" s="341">
        <f>ROUND(AVERAGE(5-4*(AO57)/(AO9)),1)</f>
        <v>5</v>
      </c>
      <c r="AQ57" s="344">
        <f t="shared" si="16"/>
        <v>0.75</v>
      </c>
      <c r="AR57" s="331"/>
      <c r="AS57" s="331"/>
      <c r="AT57" s="340"/>
      <c r="AU57" s="345">
        <f>ROUND(AVERAGE(5-4*(AT57)/(AT9)),1)</f>
        <v>5</v>
      </c>
      <c r="AV57" s="346">
        <f t="shared" si="18"/>
        <v>0.75</v>
      </c>
      <c r="AW57" s="331"/>
      <c r="AX57" s="331"/>
      <c r="AY57" s="331"/>
      <c r="AZ57" s="331"/>
      <c r="BA57" s="345">
        <f>ROUND(AVERAGE(5-4*(AZ57)/(AZ9)),1)</f>
        <v>5</v>
      </c>
      <c r="BB57" s="346">
        <f t="shared" si="20"/>
        <v>0.75</v>
      </c>
      <c r="BC57" s="348"/>
      <c r="BD57" s="345">
        <f>5-(4*BC57/BC9)</f>
        <v>5</v>
      </c>
      <c r="BE57" s="346">
        <f t="shared" si="21"/>
        <v>0.5</v>
      </c>
      <c r="BF57" s="336"/>
      <c r="BG57" s="349">
        <f>ROUND(AVERAGE(5-4*(BF57)/(BF9)),1)</f>
        <v>5</v>
      </c>
      <c r="BH57" s="347">
        <f t="shared" si="22"/>
        <v>1.5</v>
      </c>
      <c r="BI57" s="348" t="s">
        <v>93</v>
      </c>
      <c r="BJ57" s="348" t="s">
        <v>93</v>
      </c>
      <c r="BK57" s="348" t="s">
        <v>95</v>
      </c>
      <c r="BL57" s="350">
        <v>45992</v>
      </c>
    </row>
    <row r="58" spans="1:64" x14ac:dyDescent="0.3">
      <c r="A58" s="63">
        <v>48</v>
      </c>
      <c r="B58" s="273" t="s">
        <v>195</v>
      </c>
      <c r="C58" s="237" t="s">
        <v>196</v>
      </c>
      <c r="D58" s="86">
        <v>30</v>
      </c>
      <c r="E58" s="86">
        <v>32</v>
      </c>
      <c r="F58" s="93">
        <f>SUM(D58+E58)</f>
        <v>62</v>
      </c>
      <c r="G58" s="266">
        <f>ROUND(AVERAGE(5-4*(F58)/(F9)),1)</f>
        <v>2.5</v>
      </c>
      <c r="H58" s="245">
        <f t="shared" si="26"/>
        <v>0.375</v>
      </c>
      <c r="I58" s="250"/>
      <c r="J58" s="250"/>
      <c r="K58" s="78">
        <v>37</v>
      </c>
      <c r="L58" s="78">
        <v>35</v>
      </c>
      <c r="M58" s="81">
        <f t="shared" si="3"/>
        <v>72</v>
      </c>
      <c r="N58" s="266">
        <f>ROUND(AVERAGE(5-4*(M58)/(M9)),1)</f>
        <v>2.1</v>
      </c>
      <c r="O58" s="108">
        <f t="shared" si="4"/>
        <v>0.315</v>
      </c>
      <c r="P58" s="250"/>
      <c r="Q58" s="250"/>
      <c r="R58" s="86">
        <v>35</v>
      </c>
      <c r="S58" s="86">
        <v>33</v>
      </c>
      <c r="T58" s="93">
        <f t="shared" si="5"/>
        <v>68</v>
      </c>
      <c r="U58" s="106">
        <f>ROUND(AVERAGE(5-4*(T58)/(T9)),1)</f>
        <v>2.2999999999999998</v>
      </c>
      <c r="V58" s="108">
        <f t="shared" si="6"/>
        <v>0.34499999999999997</v>
      </c>
      <c r="W58" s="86">
        <v>90</v>
      </c>
      <c r="X58" s="95">
        <v>88</v>
      </c>
      <c r="Y58" s="96">
        <f t="shared" si="7"/>
        <v>178</v>
      </c>
      <c r="Z58" s="106">
        <f>ROUND(AVERAGE(5-4*(Y58)/(Y9)),1)</f>
        <v>1.4</v>
      </c>
      <c r="AA58" s="108">
        <f t="shared" si="8"/>
        <v>0.21</v>
      </c>
      <c r="AB58" s="98">
        <v>27</v>
      </c>
      <c r="AC58" s="106">
        <f t="shared" si="9"/>
        <v>1</v>
      </c>
      <c r="AD58" s="108">
        <f t="shared" si="10"/>
        <v>0.1</v>
      </c>
      <c r="AE58" s="86">
        <v>27</v>
      </c>
      <c r="AF58" s="107">
        <f t="shared" si="11"/>
        <v>3.5</v>
      </c>
      <c r="AG58" s="108">
        <f t="shared" si="12"/>
        <v>1.05</v>
      </c>
      <c r="AH58" s="96">
        <v>24</v>
      </c>
      <c r="AI58" s="93">
        <v>15</v>
      </c>
      <c r="AJ58" s="96">
        <f t="shared" si="13"/>
        <v>39</v>
      </c>
      <c r="AK58" s="106">
        <f>ROUND(AVERAGE(5-4*(AJ58)/(AJ9)),1)</f>
        <v>3.4</v>
      </c>
      <c r="AL58" s="108">
        <f t="shared" si="14"/>
        <v>0.51</v>
      </c>
      <c r="AM58" s="93">
        <v>35</v>
      </c>
      <c r="AN58" s="93">
        <v>37</v>
      </c>
      <c r="AO58" s="96">
        <f t="shared" si="15"/>
        <v>72</v>
      </c>
      <c r="AP58" s="106">
        <f>ROUND(AVERAGE(5-4*(AO58)/(AO9)),1)</f>
        <v>2.1</v>
      </c>
      <c r="AQ58" s="158">
        <f t="shared" si="16"/>
        <v>0.315</v>
      </c>
      <c r="AR58" s="93">
        <v>38</v>
      </c>
      <c r="AS58" s="93">
        <v>40</v>
      </c>
      <c r="AT58" s="96">
        <f t="shared" si="17"/>
        <v>78</v>
      </c>
      <c r="AU58" s="148">
        <f>ROUND(AVERAGE(5-4*(AT58)/(AT9)),1)</f>
        <v>1.9</v>
      </c>
      <c r="AV58" s="149">
        <f t="shared" si="18"/>
        <v>0.28499999999999998</v>
      </c>
      <c r="AW58" s="93">
        <v>90</v>
      </c>
      <c r="AX58" s="93">
        <v>90</v>
      </c>
      <c r="AY58" s="93">
        <v>85</v>
      </c>
      <c r="AZ58" s="93">
        <f t="shared" si="19"/>
        <v>265</v>
      </c>
      <c r="BA58" s="148">
        <f>ROUND(AVERAGE(5-4*(AZ58)/(AZ9)),1)</f>
        <v>1.5</v>
      </c>
      <c r="BB58" s="149">
        <f t="shared" si="20"/>
        <v>0.22499999999999998</v>
      </c>
      <c r="BC58" s="165">
        <v>27</v>
      </c>
      <c r="BD58" s="148">
        <f>5-(4*BC58/BC9)</f>
        <v>1</v>
      </c>
      <c r="BE58" s="149">
        <f t="shared" si="21"/>
        <v>0.1</v>
      </c>
      <c r="BF58" s="81">
        <v>31</v>
      </c>
      <c r="BG58" s="217">
        <f>ROUND(AVERAGE(5-4*(BF58)/(BF9)),1)</f>
        <v>3.2</v>
      </c>
      <c r="BH58" s="151">
        <f t="shared" si="22"/>
        <v>0.96</v>
      </c>
      <c r="BI58" s="165">
        <f t="shared" si="23"/>
        <v>2.395</v>
      </c>
      <c r="BJ58" s="165">
        <f t="shared" si="28"/>
        <v>2.395</v>
      </c>
      <c r="BK58" s="165">
        <v>2.4</v>
      </c>
      <c r="BL58" s="81" t="s">
        <v>91</v>
      </c>
    </row>
    <row r="59" spans="1:64" x14ac:dyDescent="0.3">
      <c r="A59" s="63">
        <v>49</v>
      </c>
      <c r="B59" s="273" t="s">
        <v>197</v>
      </c>
      <c r="C59" s="237" t="s">
        <v>198</v>
      </c>
      <c r="D59" s="86">
        <v>32</v>
      </c>
      <c r="E59" s="86">
        <v>29</v>
      </c>
      <c r="F59" s="93">
        <f t="shared" si="0"/>
        <v>61</v>
      </c>
      <c r="G59" s="266">
        <f>ROUND(AVERAGE(5-4*(F59)/(F9)),1)</f>
        <v>2.6</v>
      </c>
      <c r="H59" s="245">
        <f t="shared" si="26"/>
        <v>0.39</v>
      </c>
      <c r="I59" s="250"/>
      <c r="J59" s="250"/>
      <c r="K59" s="78">
        <v>37</v>
      </c>
      <c r="L59" s="78">
        <v>28</v>
      </c>
      <c r="M59" s="81">
        <f t="shared" si="3"/>
        <v>65</v>
      </c>
      <c r="N59" s="266">
        <f>ROUND(AVERAGE(5-4*(M59)/(M9)),1)</f>
        <v>2.4</v>
      </c>
      <c r="O59" s="108">
        <f t="shared" si="4"/>
        <v>0.36</v>
      </c>
      <c r="P59" s="250"/>
      <c r="Q59" s="250"/>
      <c r="R59" s="86">
        <v>28</v>
      </c>
      <c r="S59" s="86">
        <v>30</v>
      </c>
      <c r="T59" s="93">
        <f t="shared" si="5"/>
        <v>58</v>
      </c>
      <c r="U59" s="106">
        <f>ROUND(AVERAGE(5-4*(T59)/(T9)),1)</f>
        <v>2.7</v>
      </c>
      <c r="V59" s="108">
        <f t="shared" si="6"/>
        <v>0.40500000000000003</v>
      </c>
      <c r="W59" s="86">
        <v>80</v>
      </c>
      <c r="X59" s="95">
        <v>85</v>
      </c>
      <c r="Y59" s="96">
        <f t="shared" si="7"/>
        <v>165</v>
      </c>
      <c r="Z59" s="106">
        <f>ROUND(AVERAGE(5-4*(Y59)/(Y9)),1)</f>
        <v>1.7</v>
      </c>
      <c r="AA59" s="108">
        <f t="shared" si="8"/>
        <v>0.255</v>
      </c>
      <c r="AB59" s="98">
        <v>27</v>
      </c>
      <c r="AC59" s="106">
        <f t="shared" si="9"/>
        <v>1</v>
      </c>
      <c r="AD59" s="108">
        <f t="shared" si="10"/>
        <v>0.1</v>
      </c>
      <c r="AE59" s="86">
        <v>45</v>
      </c>
      <c r="AF59" s="107">
        <f t="shared" si="11"/>
        <v>2.4</v>
      </c>
      <c r="AG59" s="108">
        <f t="shared" si="12"/>
        <v>0.72</v>
      </c>
      <c r="AH59" s="96">
        <v>22</v>
      </c>
      <c r="AI59" s="93">
        <v>36</v>
      </c>
      <c r="AJ59" s="96">
        <f t="shared" si="13"/>
        <v>58</v>
      </c>
      <c r="AK59" s="106">
        <f>ROUND(AVERAGE(5-4*(AJ59)/(AJ9)),1)</f>
        <v>2.7</v>
      </c>
      <c r="AL59" s="108">
        <f t="shared" si="14"/>
        <v>0.40500000000000003</v>
      </c>
      <c r="AM59" s="93">
        <v>30</v>
      </c>
      <c r="AN59" s="93">
        <v>30</v>
      </c>
      <c r="AO59" s="96">
        <f t="shared" si="15"/>
        <v>60</v>
      </c>
      <c r="AP59" s="106">
        <f>ROUND(AVERAGE(5-4*(AO59)/(AO9)),1)</f>
        <v>2.6</v>
      </c>
      <c r="AQ59" s="158">
        <f t="shared" si="16"/>
        <v>0.39</v>
      </c>
      <c r="AR59" s="93">
        <v>32</v>
      </c>
      <c r="AS59" s="93">
        <v>34</v>
      </c>
      <c r="AT59" s="96">
        <f t="shared" si="17"/>
        <v>66</v>
      </c>
      <c r="AU59" s="148">
        <f>ROUND(AVERAGE(5-4*(AT59)/(AT9)),1)</f>
        <v>2.4</v>
      </c>
      <c r="AV59" s="149">
        <f t="shared" si="18"/>
        <v>0.36</v>
      </c>
      <c r="AW59" s="93">
        <v>82</v>
      </c>
      <c r="AX59" s="93">
        <v>85</v>
      </c>
      <c r="AY59" s="93">
        <v>85</v>
      </c>
      <c r="AZ59" s="93">
        <f t="shared" si="19"/>
        <v>252</v>
      </c>
      <c r="BA59" s="148">
        <f>ROUND(AVERAGE(5-4*(AZ59)/(AZ9)),1)</f>
        <v>1.6</v>
      </c>
      <c r="BB59" s="149">
        <f t="shared" si="20"/>
        <v>0.24</v>
      </c>
      <c r="BC59" s="165">
        <v>27</v>
      </c>
      <c r="BD59" s="148">
        <f>5-(4*BC59/BC9)</f>
        <v>1</v>
      </c>
      <c r="BE59" s="149">
        <f t="shared" si="21"/>
        <v>0.1</v>
      </c>
      <c r="BF59" s="81">
        <v>35</v>
      </c>
      <c r="BG59" s="217">
        <f>ROUND(AVERAGE(5-4*(BF59)/(BF9)),1)</f>
        <v>3</v>
      </c>
      <c r="BH59" s="149">
        <f t="shared" si="22"/>
        <v>0.89999999999999991</v>
      </c>
      <c r="BI59" s="165">
        <f t="shared" si="23"/>
        <v>2.2300000000000004</v>
      </c>
      <c r="BJ59" s="165">
        <f t="shared" si="28"/>
        <v>2.395</v>
      </c>
      <c r="BK59" s="165">
        <f t="shared" si="25"/>
        <v>2.3125</v>
      </c>
      <c r="BL59" s="81" t="s">
        <v>91</v>
      </c>
    </row>
    <row r="60" spans="1:64" x14ac:dyDescent="0.3">
      <c r="A60" s="63"/>
      <c r="B60" s="273"/>
      <c r="C60" s="237"/>
      <c r="D60" s="86"/>
      <c r="E60" s="86"/>
      <c r="F60" s="93"/>
      <c r="G60" s="266"/>
      <c r="H60" s="245"/>
      <c r="I60" s="250"/>
      <c r="J60" s="250"/>
      <c r="K60" s="78"/>
      <c r="L60" s="78"/>
      <c r="M60" s="81"/>
      <c r="N60" s="266"/>
      <c r="O60" s="108"/>
      <c r="P60" s="250"/>
      <c r="Q60" s="250"/>
      <c r="R60" s="86"/>
      <c r="S60" s="86"/>
      <c r="T60" s="93"/>
      <c r="U60" s="106"/>
      <c r="V60" s="108"/>
      <c r="W60" s="86"/>
      <c r="X60" s="95"/>
      <c r="Y60" s="96"/>
      <c r="Z60" s="106"/>
      <c r="AA60" s="108"/>
      <c r="AB60" s="98"/>
      <c r="AC60" s="106"/>
      <c r="AD60" s="108"/>
      <c r="AE60" s="86"/>
      <c r="AF60" s="107"/>
      <c r="AG60" s="108"/>
      <c r="AH60" s="96"/>
      <c r="AI60" s="93" t="s">
        <v>96</v>
      </c>
      <c r="AJ60" s="96"/>
      <c r="AK60" s="106"/>
      <c r="AL60" s="108"/>
      <c r="AM60" s="93"/>
      <c r="AN60" s="93"/>
      <c r="AO60" s="96"/>
      <c r="AP60" s="106"/>
      <c r="AQ60" s="158"/>
      <c r="AR60" s="93"/>
      <c r="AS60" s="93"/>
      <c r="AT60" s="96"/>
      <c r="AU60" s="148"/>
      <c r="AV60" s="149"/>
      <c r="AW60" s="93"/>
      <c r="AX60" s="93"/>
      <c r="AY60" s="93"/>
      <c r="AZ60" s="93"/>
      <c r="BA60" s="148"/>
      <c r="BB60" s="149"/>
      <c r="BC60" s="81"/>
      <c r="BD60" s="148"/>
      <c r="BE60" s="149"/>
      <c r="BF60" s="81"/>
      <c r="BG60" s="217"/>
      <c r="BH60" s="149"/>
      <c r="BI60" s="165"/>
      <c r="BJ60" s="165"/>
      <c r="BK60" s="165"/>
      <c r="BL60" s="81"/>
    </row>
    <row r="61" spans="1:64" x14ac:dyDescent="0.3">
      <c r="A61" s="63"/>
      <c r="B61" s="273"/>
      <c r="C61" s="237"/>
      <c r="D61" s="86"/>
      <c r="E61" s="86"/>
      <c r="F61" s="93"/>
      <c r="G61" s="266"/>
      <c r="H61" s="245"/>
      <c r="I61" s="250"/>
      <c r="J61" s="250"/>
      <c r="K61" s="87"/>
      <c r="L61" s="87"/>
      <c r="M61" s="81"/>
      <c r="N61" s="266"/>
      <c r="O61" s="108"/>
      <c r="P61" s="250"/>
      <c r="Q61" s="250"/>
      <c r="R61" s="86"/>
      <c r="S61" s="86"/>
      <c r="T61" s="93"/>
      <c r="U61" s="106"/>
      <c r="V61" s="108"/>
      <c r="W61" s="86"/>
      <c r="X61" s="83"/>
      <c r="Y61" s="96"/>
      <c r="Z61" s="106"/>
      <c r="AA61" s="108"/>
      <c r="AB61" s="98"/>
      <c r="AC61" s="106"/>
      <c r="AD61" s="108"/>
      <c r="AE61" s="86"/>
      <c r="AF61" s="107"/>
      <c r="AG61" s="108"/>
      <c r="AH61" s="96"/>
      <c r="AI61" s="93"/>
      <c r="AJ61" s="96"/>
      <c r="AK61" s="106"/>
      <c r="AL61" s="108"/>
      <c r="AM61" s="93"/>
      <c r="AN61" s="93"/>
      <c r="AO61" s="96"/>
      <c r="AP61" s="106"/>
      <c r="AQ61" s="158"/>
      <c r="AR61" s="93"/>
      <c r="AS61" s="93"/>
      <c r="AT61" s="96"/>
      <c r="AU61" s="148"/>
      <c r="AV61" s="149"/>
      <c r="AW61" s="93"/>
      <c r="AX61" s="93"/>
      <c r="AY61" s="93"/>
      <c r="AZ61" s="93"/>
      <c r="BA61" s="148"/>
      <c r="BB61" s="149"/>
      <c r="BC61" s="81"/>
      <c r="BD61" s="148"/>
      <c r="BE61" s="149"/>
      <c r="BF61" s="81"/>
      <c r="BG61" s="217"/>
      <c r="BH61" s="149"/>
      <c r="BI61" s="165"/>
      <c r="BJ61" s="165"/>
      <c r="BK61" s="165"/>
      <c r="BL61" s="81"/>
    </row>
    <row r="62" spans="1:64" x14ac:dyDescent="0.3">
      <c r="A62" s="408"/>
      <c r="B62" s="406"/>
      <c r="C62" s="407"/>
      <c r="D62" s="632" t="s">
        <v>19</v>
      </c>
      <c r="E62" s="632"/>
      <c r="F62" s="632"/>
      <c r="G62" s="632"/>
      <c r="H62" s="632"/>
      <c r="I62" s="633" t="s">
        <v>63</v>
      </c>
      <c r="J62" s="633"/>
      <c r="K62" s="633"/>
      <c r="L62" s="633"/>
      <c r="M62" s="633"/>
      <c r="N62" s="633"/>
      <c r="O62" s="633"/>
      <c r="P62" s="633"/>
      <c r="Q62" s="633"/>
      <c r="R62" s="633"/>
      <c r="S62" s="633"/>
      <c r="T62" s="633"/>
      <c r="U62" s="633"/>
      <c r="V62" s="633"/>
      <c r="W62" s="633"/>
      <c r="X62" s="633"/>
      <c r="Y62" s="633"/>
      <c r="Z62" s="633"/>
      <c r="AR62" s="634" t="s">
        <v>21</v>
      </c>
      <c r="AS62" s="634"/>
      <c r="AT62" s="634"/>
      <c r="AU62" s="634"/>
      <c r="AV62" s="634"/>
      <c r="AW62" s="635" t="s">
        <v>210</v>
      </c>
      <c r="AX62" s="635"/>
      <c r="AY62" s="635"/>
      <c r="AZ62" s="635"/>
      <c r="BA62" s="635"/>
      <c r="BB62" s="635"/>
      <c r="BC62" s="635"/>
      <c r="BD62" s="635"/>
      <c r="BE62" s="635"/>
      <c r="BF62" s="635"/>
      <c r="BG62" s="635"/>
      <c r="BH62" s="635"/>
      <c r="BI62" s="404"/>
      <c r="BJ62" s="404"/>
      <c r="BK62" s="404"/>
      <c r="BL62" s="405"/>
    </row>
    <row r="63" spans="1:64" x14ac:dyDescent="0.3">
      <c r="A63" s="408"/>
      <c r="B63" s="406"/>
      <c r="C63" s="407"/>
      <c r="D63" s="636" t="s">
        <v>20</v>
      </c>
      <c r="E63" s="636"/>
      <c r="F63" s="636"/>
      <c r="G63" s="636"/>
      <c r="H63" s="636"/>
      <c r="I63" s="633" t="s">
        <v>64</v>
      </c>
      <c r="J63" s="633"/>
      <c r="K63" s="633"/>
      <c r="L63" s="633"/>
      <c r="M63" s="633"/>
      <c r="N63" s="633"/>
      <c r="O63" s="633"/>
      <c r="P63" s="633"/>
      <c r="Q63" s="633"/>
      <c r="R63" s="633"/>
      <c r="S63" s="633"/>
      <c r="T63" s="633"/>
      <c r="U63" s="633"/>
      <c r="V63" s="633"/>
      <c r="W63" s="633"/>
      <c r="X63" s="633"/>
      <c r="Y63" s="633"/>
      <c r="Z63" s="633"/>
      <c r="AR63" s="634" t="s">
        <v>40</v>
      </c>
      <c r="AS63" s="634"/>
      <c r="AT63" s="634"/>
      <c r="AU63" s="634"/>
      <c r="AV63" s="634"/>
      <c r="AW63" s="635" t="s">
        <v>66</v>
      </c>
      <c r="AX63" s="635"/>
      <c r="AY63" s="635"/>
      <c r="AZ63" s="635"/>
      <c r="BA63" s="635"/>
      <c r="BB63" s="635"/>
      <c r="BC63" s="635"/>
      <c r="BD63" s="635"/>
      <c r="BE63" s="635"/>
      <c r="BF63" s="635"/>
      <c r="BG63" s="635"/>
      <c r="BH63" s="635"/>
      <c r="BI63" s="404"/>
      <c r="BJ63" s="404"/>
      <c r="BK63" s="404"/>
      <c r="BL63" s="405"/>
    </row>
    <row r="64" spans="1:64" x14ac:dyDescent="0.3">
      <c r="A64" s="408"/>
      <c r="B64" s="406"/>
      <c r="C64" s="407"/>
      <c r="D64" s="632" t="s">
        <v>22</v>
      </c>
      <c r="E64" s="632"/>
      <c r="F64" s="632"/>
      <c r="G64" s="632"/>
      <c r="H64" s="632"/>
      <c r="I64" s="633" t="s">
        <v>495</v>
      </c>
      <c r="J64" s="633"/>
      <c r="K64" s="633"/>
      <c r="L64" s="633"/>
      <c r="M64" s="633"/>
      <c r="N64" s="633"/>
      <c r="O64" s="633"/>
      <c r="P64" s="633"/>
      <c r="Q64" s="633"/>
      <c r="R64" s="633"/>
      <c r="S64" s="633"/>
      <c r="T64" s="633"/>
      <c r="U64" s="633"/>
      <c r="V64" s="633"/>
      <c r="W64" s="633"/>
      <c r="X64" s="633"/>
      <c r="Y64" s="633"/>
      <c r="Z64" s="633"/>
      <c r="AR64" s="634" t="s">
        <v>41</v>
      </c>
      <c r="AS64" s="634"/>
      <c r="AT64" s="634"/>
      <c r="AU64" s="634"/>
      <c r="AV64" s="634"/>
      <c r="AW64" s="635" t="s">
        <v>308</v>
      </c>
      <c r="AX64" s="635"/>
      <c r="AY64" s="635"/>
      <c r="AZ64" s="635"/>
      <c r="BA64" s="635"/>
      <c r="BB64" s="635"/>
      <c r="BC64" s="635"/>
      <c r="BD64" s="635"/>
      <c r="BE64" s="635"/>
      <c r="BF64" s="635"/>
      <c r="BG64" s="635"/>
      <c r="BH64" s="635"/>
      <c r="BI64" s="404"/>
      <c r="BJ64" s="404"/>
      <c r="BK64" s="404"/>
      <c r="BL64" s="405"/>
    </row>
    <row r="65" spans="1:64" x14ac:dyDescent="0.3">
      <c r="A65" s="408"/>
      <c r="B65" s="406"/>
      <c r="C65" s="407"/>
      <c r="D65" s="632" t="s">
        <v>23</v>
      </c>
      <c r="E65" s="632"/>
      <c r="F65" s="632"/>
      <c r="G65" s="632"/>
      <c r="H65" s="632"/>
      <c r="I65" s="633" t="s">
        <v>65</v>
      </c>
      <c r="J65" s="633"/>
      <c r="K65" s="633"/>
      <c r="L65" s="633"/>
      <c r="M65" s="633"/>
      <c r="N65" s="633"/>
      <c r="O65" s="633"/>
      <c r="P65" s="633"/>
      <c r="Q65" s="633"/>
      <c r="R65" s="633"/>
      <c r="S65" s="633"/>
      <c r="T65" s="633"/>
      <c r="U65" s="633"/>
      <c r="V65" s="633"/>
      <c r="W65" s="633"/>
      <c r="X65" s="633"/>
      <c r="Y65" s="633"/>
      <c r="Z65" s="633"/>
      <c r="AR65" s="634" t="s">
        <v>42</v>
      </c>
      <c r="AS65" s="634"/>
      <c r="AT65" s="634"/>
      <c r="AU65" s="634"/>
      <c r="AV65" s="634"/>
      <c r="AW65" s="635" t="s">
        <v>307</v>
      </c>
      <c r="AX65" s="635"/>
      <c r="AY65" s="635"/>
      <c r="AZ65" s="635"/>
      <c r="BA65" s="635"/>
      <c r="BB65" s="635"/>
      <c r="BC65" s="635"/>
      <c r="BD65" s="635"/>
      <c r="BE65" s="635"/>
      <c r="BF65" s="635"/>
      <c r="BG65" s="635"/>
      <c r="BH65" s="635"/>
      <c r="BI65" s="404"/>
      <c r="BJ65" s="404"/>
      <c r="BK65" s="404"/>
      <c r="BL65" s="405"/>
    </row>
    <row r="66" spans="1:64" x14ac:dyDescent="0.3">
      <c r="A66" s="63"/>
      <c r="B66" s="273"/>
      <c r="C66" s="239" t="s">
        <v>35</v>
      </c>
      <c r="D66" s="86"/>
      <c r="E66" s="86"/>
      <c r="F66" s="93"/>
      <c r="G66" s="268"/>
      <c r="H66" s="245"/>
      <c r="I66" s="250"/>
      <c r="J66" s="250"/>
      <c r="K66" s="78"/>
      <c r="L66" s="78"/>
      <c r="M66" s="81"/>
      <c r="N66" s="266"/>
      <c r="O66" s="108"/>
      <c r="P66" s="250"/>
      <c r="Q66" s="250"/>
      <c r="R66" s="86"/>
      <c r="S66" s="86"/>
      <c r="T66" s="93"/>
      <c r="U66" s="106"/>
      <c r="V66" s="108"/>
      <c r="W66" s="86"/>
      <c r="X66" s="95"/>
      <c r="Y66" s="96"/>
      <c r="Z66" s="106"/>
      <c r="AA66" s="108"/>
      <c r="AB66" s="98"/>
      <c r="AC66" s="106"/>
      <c r="AD66" s="108"/>
      <c r="AE66" s="86"/>
      <c r="AF66" s="107"/>
      <c r="AG66" s="108"/>
      <c r="AH66" s="96"/>
      <c r="AI66" s="93"/>
      <c r="AJ66" s="96"/>
      <c r="AK66" s="106"/>
      <c r="AL66" s="108"/>
      <c r="AM66" s="93"/>
      <c r="AN66" s="93"/>
      <c r="AO66" s="96"/>
      <c r="AP66" s="106"/>
      <c r="AQ66" s="158"/>
      <c r="AR66" s="93"/>
      <c r="AS66" s="93"/>
      <c r="AT66" s="96"/>
      <c r="AU66" s="148"/>
      <c r="AV66" s="149"/>
      <c r="AW66" s="93"/>
      <c r="AX66" s="93"/>
      <c r="AY66" s="93"/>
      <c r="AZ66" s="93"/>
      <c r="BA66" s="148"/>
      <c r="BB66" s="149"/>
      <c r="BC66" s="81"/>
      <c r="BD66" s="148"/>
      <c r="BE66" s="149"/>
      <c r="BF66" s="81"/>
      <c r="BG66" s="217"/>
      <c r="BH66" s="149"/>
      <c r="BI66" s="165"/>
      <c r="BJ66" s="165"/>
      <c r="BK66" s="165"/>
      <c r="BL66" s="81"/>
    </row>
    <row r="67" spans="1:64" x14ac:dyDescent="0.3">
      <c r="A67" s="63">
        <v>50</v>
      </c>
      <c r="B67" s="273" t="s">
        <v>101</v>
      </c>
      <c r="C67" s="237" t="s">
        <v>102</v>
      </c>
      <c r="D67" s="86">
        <v>36</v>
      </c>
      <c r="E67" s="83">
        <v>33</v>
      </c>
      <c r="F67" s="93">
        <f t="shared" ref="F67" si="29">SUM(D67+E67)</f>
        <v>69</v>
      </c>
      <c r="G67" s="268">
        <f>ROUND(AVERAGE(5-4*(F67)/(F9)),1)</f>
        <v>2.2000000000000002</v>
      </c>
      <c r="H67" s="264">
        <f t="shared" ref="H67" si="30">G67*0.15</f>
        <v>0.33</v>
      </c>
      <c r="I67" s="250"/>
      <c r="J67" s="250"/>
      <c r="K67" s="78">
        <v>25</v>
      </c>
      <c r="L67" s="78">
        <v>29</v>
      </c>
      <c r="M67" s="81">
        <f t="shared" ref="M67" si="31">SUM(K67+L67)</f>
        <v>54</v>
      </c>
      <c r="N67" s="268">
        <f>ROUND(AVERAGE(5-4*(M67)/(M9)),1)</f>
        <v>2.8</v>
      </c>
      <c r="O67" s="232">
        <f t="shared" ref="O67" si="32">N67*0.15</f>
        <v>0.42</v>
      </c>
      <c r="P67" s="250"/>
      <c r="Q67" s="250"/>
      <c r="R67" s="86">
        <v>30</v>
      </c>
      <c r="S67" s="86">
        <v>30</v>
      </c>
      <c r="T67" s="93">
        <f t="shared" ref="T67" si="33">SUM(R67+S67)</f>
        <v>60</v>
      </c>
      <c r="U67" s="229">
        <f>ROUND(AVERAGE(5-4*(T67)/(T9)),1)</f>
        <v>2.6</v>
      </c>
      <c r="V67" s="232">
        <f t="shared" ref="V67" si="34">U67*0.15</f>
        <v>0.39</v>
      </c>
      <c r="W67" s="83">
        <v>75</v>
      </c>
      <c r="X67" s="95">
        <v>70</v>
      </c>
      <c r="Y67" s="96">
        <f t="shared" ref="Y67" si="35">SUM(W67+X67)</f>
        <v>145</v>
      </c>
      <c r="Z67" s="229">
        <f>ROUND(AVERAGE(5-4*(Y67)/(Y9)),1)</f>
        <v>2.1</v>
      </c>
      <c r="AA67" s="232">
        <f t="shared" ref="AA67" si="36">Z67*0.15</f>
        <v>0.315</v>
      </c>
      <c r="AB67" s="98">
        <v>24</v>
      </c>
      <c r="AC67" s="229">
        <f t="shared" ref="AC67" si="37">5-(4*AB67/27)</f>
        <v>1.4444444444444446</v>
      </c>
      <c r="AD67" s="232">
        <f t="shared" ref="AD67" si="38">AC67*0.1</f>
        <v>0.14444444444444446</v>
      </c>
      <c r="AE67" s="86">
        <v>34</v>
      </c>
      <c r="AF67" s="231">
        <f t="shared" ref="AF67" si="39">ROUND(AVERAGE(5-4*(AE67)/(70)),1)</f>
        <v>3.1</v>
      </c>
      <c r="AG67" s="232">
        <f t="shared" ref="AG67" si="40">AF67*0.3</f>
        <v>0.92999999999999994</v>
      </c>
      <c r="AH67" s="96">
        <v>17</v>
      </c>
      <c r="AI67" s="93">
        <v>34</v>
      </c>
      <c r="AJ67" s="96">
        <f t="shared" ref="AJ67" si="41">SUM(AH67+AI67)</f>
        <v>51</v>
      </c>
      <c r="AK67" s="229">
        <f>ROUND(AVERAGE(5-4*(AJ67)/(AJ9)),1)</f>
        <v>3</v>
      </c>
      <c r="AL67" s="232">
        <f t="shared" ref="AL67" si="42">AK67*0.15</f>
        <v>0.44999999999999996</v>
      </c>
      <c r="AM67" s="93">
        <v>35</v>
      </c>
      <c r="AN67" s="153">
        <v>34</v>
      </c>
      <c r="AO67" s="96">
        <f t="shared" ref="AO67" si="43">SUM(AN67+AM67)</f>
        <v>69</v>
      </c>
      <c r="AP67" s="229">
        <f>ROUND(AVERAGE(5-4*(AO67)/(AO9)),1)</f>
        <v>2.2000000000000002</v>
      </c>
      <c r="AQ67" s="233">
        <f t="shared" ref="AQ67" si="44">AP67*0.15</f>
        <v>0.33</v>
      </c>
      <c r="AR67" s="93">
        <v>37</v>
      </c>
      <c r="AS67" s="93">
        <v>40</v>
      </c>
      <c r="AT67" s="96">
        <f t="shared" ref="AT67" si="45">SUM(AR67+AS67)</f>
        <v>77</v>
      </c>
      <c r="AU67" s="234">
        <f>ROUND(AVERAGE(5-4*(AT67)/(AT9)),1)</f>
        <v>1.9</v>
      </c>
      <c r="AV67" s="235">
        <f t="shared" ref="AV67" si="46">AU67*0.15</f>
        <v>0.28499999999999998</v>
      </c>
      <c r="AW67" s="93">
        <v>90</v>
      </c>
      <c r="AX67" s="93">
        <v>90</v>
      </c>
      <c r="AY67" s="93">
        <v>95</v>
      </c>
      <c r="AZ67" s="93">
        <f t="shared" ref="AZ67" si="47">SUM(AX67+AW67+AY67)</f>
        <v>275</v>
      </c>
      <c r="BA67" s="234">
        <f>ROUND(AVERAGE(5-4*(AZ67)/(AZ9)),1)</f>
        <v>1.3</v>
      </c>
      <c r="BB67" s="235">
        <f t="shared" ref="BB67" si="48">BA67*0.15</f>
        <v>0.19500000000000001</v>
      </c>
      <c r="BC67" s="81">
        <v>25.5</v>
      </c>
      <c r="BD67" s="234">
        <f>5-(4*BC67/BC9)</f>
        <v>1.2222222222222223</v>
      </c>
      <c r="BE67" s="235">
        <f t="shared" ref="BE67" si="49">BD67*0.1</f>
        <v>0.12222222222222223</v>
      </c>
      <c r="BF67" s="81">
        <v>45</v>
      </c>
      <c r="BG67" s="236">
        <f>ROUND(AVERAGE(5-4*(BF67)/(BF9)),1)</f>
        <v>2.4</v>
      </c>
      <c r="BH67" s="235">
        <f t="shared" ref="BH67" si="50">BG67*0.3</f>
        <v>0.72</v>
      </c>
      <c r="BI67" s="165">
        <f>H67+O67+V67+AA67+AD67+AG67</f>
        <v>2.5294444444444446</v>
      </c>
      <c r="BJ67" s="165">
        <f t="shared" ref="BJ67" si="51">AL67+AQ67+AV67+BB67+BE67+BH67</f>
        <v>2.1022222222222222</v>
      </c>
      <c r="BK67" s="165">
        <f t="shared" ref="BK67" si="52">(BI67*1/2)+(BJ67*1/2)</f>
        <v>2.3158333333333334</v>
      </c>
      <c r="BL67" s="81" t="s">
        <v>91</v>
      </c>
    </row>
    <row r="68" spans="1:64" x14ac:dyDescent="0.3">
      <c r="A68" s="63">
        <v>51</v>
      </c>
      <c r="B68" s="273" t="s">
        <v>493</v>
      </c>
      <c r="C68" s="528" t="s">
        <v>479</v>
      </c>
      <c r="D68" s="86">
        <v>12</v>
      </c>
      <c r="E68" s="86">
        <v>28</v>
      </c>
      <c r="F68" s="93">
        <f t="shared" ref="F68" si="53">SUM(D68+E68)</f>
        <v>40</v>
      </c>
      <c r="G68" s="268">
        <f>ROUND(AVERAGE(5-4*(F68)/(F9)),1)</f>
        <v>3.4</v>
      </c>
      <c r="H68" s="264">
        <f t="shared" si="26"/>
        <v>0.51</v>
      </c>
      <c r="I68" s="250"/>
      <c r="J68" s="250"/>
      <c r="K68" s="78">
        <v>32</v>
      </c>
      <c r="L68" s="78">
        <v>33</v>
      </c>
      <c r="M68" s="81">
        <f t="shared" ref="M68" si="54">SUM(K68+L68)</f>
        <v>65</v>
      </c>
      <c r="N68" s="268">
        <f>ROUND(AVERAGE(5-4*(M68)/(M9)),1)</f>
        <v>2.4</v>
      </c>
      <c r="O68" s="232">
        <f t="shared" si="4"/>
        <v>0.36</v>
      </c>
      <c r="P68" s="250"/>
      <c r="Q68" s="250"/>
      <c r="R68" s="86">
        <v>33</v>
      </c>
      <c r="S68" s="86">
        <v>30</v>
      </c>
      <c r="T68" s="93">
        <f t="shared" ref="T68" si="55">SUM(R68+S68)</f>
        <v>63</v>
      </c>
      <c r="U68" s="229">
        <f>ROUND(AVERAGE(5-4*(T68)/(T9)),1)</f>
        <v>2.5</v>
      </c>
      <c r="V68" s="232">
        <f t="shared" si="6"/>
        <v>0.375</v>
      </c>
      <c r="W68" s="86">
        <v>100</v>
      </c>
      <c r="X68" s="95">
        <v>100</v>
      </c>
      <c r="Y68" s="96">
        <f t="shared" ref="Y68" si="56">SUM(W68+X68)</f>
        <v>200</v>
      </c>
      <c r="Z68" s="229">
        <f>ROUND(AVERAGE(5-4*(Y68)/(Y9)),1)</f>
        <v>1</v>
      </c>
      <c r="AA68" s="232">
        <f t="shared" si="8"/>
        <v>0.15</v>
      </c>
      <c r="AB68" s="98">
        <v>24</v>
      </c>
      <c r="AC68" s="229">
        <f t="shared" si="9"/>
        <v>1.4444444444444446</v>
      </c>
      <c r="AD68" s="232">
        <f t="shared" si="10"/>
        <v>0.14444444444444446</v>
      </c>
      <c r="AE68" s="86">
        <v>58</v>
      </c>
      <c r="AF68" s="231">
        <f t="shared" si="11"/>
        <v>1.7</v>
      </c>
      <c r="AG68" s="232">
        <f t="shared" si="12"/>
        <v>0.51</v>
      </c>
      <c r="AH68" s="96">
        <v>31</v>
      </c>
      <c r="AI68" s="93">
        <v>30</v>
      </c>
      <c r="AJ68" s="96">
        <f t="shared" ref="AJ68" si="57">SUM(AH68+AI68)</f>
        <v>61</v>
      </c>
      <c r="AK68" s="229">
        <f>ROUND(AVERAGE(5-4*(AJ68)/(AJ9)),1)</f>
        <v>2.6</v>
      </c>
      <c r="AL68" s="232">
        <f t="shared" si="14"/>
        <v>0.39</v>
      </c>
      <c r="AM68" s="93">
        <v>35</v>
      </c>
      <c r="AN68" s="153">
        <v>38</v>
      </c>
      <c r="AO68" s="96">
        <f t="shared" ref="AO68" si="58">SUM(AN68+AM68)</f>
        <v>73</v>
      </c>
      <c r="AP68" s="229">
        <f>ROUND(AVERAGE(5-4*(AO68)/(AO9)),1)</f>
        <v>2.1</v>
      </c>
      <c r="AQ68" s="233">
        <f t="shared" si="16"/>
        <v>0.315</v>
      </c>
      <c r="AR68" s="93">
        <v>37</v>
      </c>
      <c r="AS68" s="93">
        <v>35</v>
      </c>
      <c r="AT68" s="96">
        <f t="shared" ref="AT68" si="59">SUM(AR68+AS68)</f>
        <v>72</v>
      </c>
      <c r="AU68" s="234">
        <f>ROUND(AVERAGE(5-4*(AT68)/(AT9)),1)</f>
        <v>2.1</v>
      </c>
      <c r="AV68" s="235">
        <f t="shared" si="18"/>
        <v>0.315</v>
      </c>
      <c r="AW68" s="93">
        <v>100</v>
      </c>
      <c r="AX68" s="93">
        <v>100</v>
      </c>
      <c r="AY68" s="93">
        <v>87</v>
      </c>
      <c r="AZ68" s="93">
        <f t="shared" ref="AZ68" si="60">SUM(AX68+AW68+AY68)</f>
        <v>287</v>
      </c>
      <c r="BA68" s="234">
        <f>ROUND(AVERAGE(5-4*(AZ68)/(AZ9)),1)</f>
        <v>1.2</v>
      </c>
      <c r="BB68" s="235">
        <f t="shared" si="20"/>
        <v>0.18</v>
      </c>
      <c r="BC68" s="81">
        <v>22.5</v>
      </c>
      <c r="BD68" s="234">
        <f>5-(4*BC68/BC9)</f>
        <v>1.6666666666666665</v>
      </c>
      <c r="BE68" s="235">
        <f t="shared" si="21"/>
        <v>0.16666666666666666</v>
      </c>
      <c r="BF68" s="81">
        <v>53</v>
      </c>
      <c r="BG68" s="236">
        <f>ROUND(AVERAGE(5-4*(BF68)/(BF9)),1)</f>
        <v>2</v>
      </c>
      <c r="BH68" s="235">
        <f t="shared" si="22"/>
        <v>0.6</v>
      </c>
      <c r="BI68" s="165">
        <f>H68+O68+V68+AA68+AD68+AG68</f>
        <v>2.0494444444444442</v>
      </c>
      <c r="BJ68" s="165">
        <f t="shared" si="28"/>
        <v>1.9666666666666668</v>
      </c>
      <c r="BK68" s="165">
        <f t="shared" si="25"/>
        <v>2.0080555555555555</v>
      </c>
      <c r="BL68" s="81" t="s">
        <v>91</v>
      </c>
    </row>
    <row r="69" spans="1:64" x14ac:dyDescent="0.3">
      <c r="A69" s="63"/>
      <c r="B69" s="63"/>
      <c r="C69" s="495" t="s">
        <v>49</v>
      </c>
      <c r="D69" s="86"/>
      <c r="E69" s="86"/>
      <c r="F69" s="93"/>
      <c r="G69" s="268"/>
      <c r="H69" s="264"/>
      <c r="I69" s="250"/>
      <c r="J69" s="250"/>
      <c r="K69" s="78"/>
      <c r="L69" s="78"/>
      <c r="M69" s="81"/>
      <c r="N69" s="268"/>
      <c r="O69" s="232"/>
      <c r="P69" s="250"/>
      <c r="Q69" s="250"/>
      <c r="R69" s="86"/>
      <c r="S69" s="86"/>
      <c r="T69" s="93"/>
      <c r="U69" s="229"/>
      <c r="V69" s="232"/>
      <c r="W69" s="86"/>
      <c r="X69" s="95"/>
      <c r="Y69" s="96"/>
      <c r="Z69" s="229"/>
      <c r="AA69" s="232"/>
      <c r="AB69" s="98"/>
      <c r="AC69" s="229"/>
      <c r="AD69" s="232"/>
      <c r="AE69" s="86"/>
      <c r="AF69" s="231"/>
      <c r="AG69" s="232"/>
      <c r="AH69" s="96"/>
      <c r="AI69" s="93"/>
      <c r="AJ69" s="96"/>
      <c r="AK69" s="229"/>
      <c r="AL69" s="232"/>
      <c r="AM69" s="93"/>
      <c r="AN69" s="93"/>
      <c r="AO69" s="96"/>
      <c r="AP69" s="229"/>
      <c r="AQ69" s="233"/>
      <c r="AR69" s="93"/>
      <c r="AS69" s="93"/>
      <c r="AT69" s="96"/>
      <c r="AU69" s="234"/>
      <c r="AV69" s="235"/>
      <c r="AW69" s="93"/>
      <c r="AX69" s="93"/>
      <c r="AY69" s="93"/>
      <c r="AZ69" s="93"/>
      <c r="BA69" s="234"/>
      <c r="BB69" s="235"/>
      <c r="BC69" s="81"/>
      <c r="BD69" s="234"/>
      <c r="BE69" s="235"/>
      <c r="BF69" s="81"/>
      <c r="BG69" s="236"/>
      <c r="BH69" s="235"/>
      <c r="BI69" s="165"/>
      <c r="BJ69" s="165"/>
      <c r="BK69" s="165"/>
      <c r="BL69" s="81"/>
    </row>
    <row r="70" spans="1:64" x14ac:dyDescent="0.3">
      <c r="A70" s="109">
        <v>52</v>
      </c>
      <c r="B70" s="273" t="s">
        <v>199</v>
      </c>
      <c r="C70" s="237" t="s">
        <v>200</v>
      </c>
      <c r="D70" s="226">
        <v>27</v>
      </c>
      <c r="E70" s="226">
        <v>18</v>
      </c>
      <c r="F70" s="154">
        <f t="shared" si="0"/>
        <v>45</v>
      </c>
      <c r="G70" s="268">
        <f>ROUND(AVERAGE(5-4*(F70)/(F9)),1)</f>
        <v>3.2</v>
      </c>
      <c r="H70" s="264">
        <f t="shared" si="26"/>
        <v>0.48</v>
      </c>
      <c r="I70" s="265"/>
      <c r="J70" s="265"/>
      <c r="K70" s="225">
        <v>38</v>
      </c>
      <c r="L70" s="225">
        <v>30</v>
      </c>
      <c r="M70" s="142">
        <f t="shared" si="3"/>
        <v>68</v>
      </c>
      <c r="N70" s="268">
        <f>ROUND(AVERAGE(5-4*(M70)/(M9)),1)</f>
        <v>2.2999999999999998</v>
      </c>
      <c r="O70" s="232">
        <f t="shared" si="4"/>
        <v>0.34499999999999997</v>
      </c>
      <c r="P70" s="265"/>
      <c r="Q70" s="265"/>
      <c r="R70" s="226">
        <v>38</v>
      </c>
      <c r="S70" s="226">
        <v>28</v>
      </c>
      <c r="T70" s="154">
        <f t="shared" si="5"/>
        <v>66</v>
      </c>
      <c r="U70" s="229">
        <f>ROUND(AVERAGE(5-4*(T70)/(T9)),1)</f>
        <v>2.4</v>
      </c>
      <c r="V70" s="232">
        <f t="shared" si="6"/>
        <v>0.36</v>
      </c>
      <c r="W70" s="226">
        <v>90</v>
      </c>
      <c r="X70" s="227">
        <v>80</v>
      </c>
      <c r="Y70" s="96">
        <f t="shared" si="7"/>
        <v>170</v>
      </c>
      <c r="Z70" s="229">
        <f>ROUND(AVERAGE(5-4*(Y70)/(Y9)),1)</f>
        <v>1.6</v>
      </c>
      <c r="AA70" s="232">
        <f t="shared" si="8"/>
        <v>0.24</v>
      </c>
      <c r="AB70" s="230">
        <v>27</v>
      </c>
      <c r="AC70" s="229">
        <f t="shared" si="9"/>
        <v>1</v>
      </c>
      <c r="AD70" s="232">
        <f t="shared" si="10"/>
        <v>0.1</v>
      </c>
      <c r="AE70" s="226">
        <v>55</v>
      </c>
      <c r="AF70" s="231">
        <f t="shared" si="11"/>
        <v>1.9</v>
      </c>
      <c r="AG70" s="232">
        <f t="shared" si="12"/>
        <v>0.56999999999999995</v>
      </c>
      <c r="AH70" s="228">
        <v>15</v>
      </c>
      <c r="AI70" s="154">
        <v>22</v>
      </c>
      <c r="AJ70" s="228">
        <f t="shared" si="13"/>
        <v>37</v>
      </c>
      <c r="AK70" s="229">
        <f>ROUND(AVERAGE(5-4*(AJ70)/(AJ9)),1)</f>
        <v>3.5</v>
      </c>
      <c r="AL70" s="232">
        <f t="shared" si="14"/>
        <v>0.52500000000000002</v>
      </c>
      <c r="AM70" s="154">
        <v>40</v>
      </c>
      <c r="AN70" s="154">
        <v>40</v>
      </c>
      <c r="AO70" s="96">
        <f t="shared" si="15"/>
        <v>80</v>
      </c>
      <c r="AP70" s="229">
        <f>ROUND(AVERAGE(5-4*(AO70)/(AO9)),1)</f>
        <v>1.8</v>
      </c>
      <c r="AQ70" s="233">
        <f t="shared" si="16"/>
        <v>0.27</v>
      </c>
      <c r="AR70" s="154">
        <v>35</v>
      </c>
      <c r="AS70" s="154">
        <v>35</v>
      </c>
      <c r="AT70" s="96">
        <f t="shared" si="17"/>
        <v>70</v>
      </c>
      <c r="AU70" s="234">
        <f>ROUND(AVERAGE(5-4*(AT70)/(AT9)),1)</f>
        <v>2.2000000000000002</v>
      </c>
      <c r="AV70" s="235">
        <f t="shared" si="18"/>
        <v>0.33</v>
      </c>
      <c r="AW70" s="154">
        <v>85</v>
      </c>
      <c r="AX70" s="154">
        <v>85</v>
      </c>
      <c r="AY70" s="154">
        <v>90</v>
      </c>
      <c r="AZ70" s="93">
        <f t="shared" si="19"/>
        <v>260</v>
      </c>
      <c r="BA70" s="234">
        <f>ROUND(AVERAGE(5-4*(AZ70)/(AZ9)),1)</f>
        <v>1.5</v>
      </c>
      <c r="BB70" s="235">
        <f t="shared" si="20"/>
        <v>0.22499999999999998</v>
      </c>
      <c r="BC70" s="475">
        <v>27</v>
      </c>
      <c r="BD70" s="234">
        <f>5-(4*BC70/BC9)</f>
        <v>1</v>
      </c>
      <c r="BE70" s="235">
        <f t="shared" si="21"/>
        <v>0.1</v>
      </c>
      <c r="BF70" s="142">
        <v>57</v>
      </c>
      <c r="BG70" s="236">
        <f>ROUND(AVERAGE(5-4*(BF70)/(BF9)),1)</f>
        <v>1.7</v>
      </c>
      <c r="BH70" s="235">
        <f t="shared" si="22"/>
        <v>0.51</v>
      </c>
      <c r="BI70" s="165">
        <f t="shared" si="23"/>
        <v>2.0950000000000002</v>
      </c>
      <c r="BJ70" s="165">
        <f t="shared" si="28"/>
        <v>1.9600000000000002</v>
      </c>
      <c r="BK70" s="165">
        <f t="shared" si="25"/>
        <v>2.0275000000000003</v>
      </c>
      <c r="BL70" s="81" t="s">
        <v>91</v>
      </c>
    </row>
    <row r="71" spans="1:64" x14ac:dyDescent="0.3">
      <c r="A71" s="109">
        <v>53</v>
      </c>
      <c r="B71" s="273" t="s">
        <v>201</v>
      </c>
      <c r="C71" s="237" t="s">
        <v>202</v>
      </c>
      <c r="D71" s="86">
        <v>21</v>
      </c>
      <c r="E71" s="86">
        <v>20</v>
      </c>
      <c r="F71" s="93">
        <f t="shared" si="0"/>
        <v>41</v>
      </c>
      <c r="G71" s="266">
        <f>ROUND(AVERAGE(5-4*(F71)/(F9)),1)</f>
        <v>3.4</v>
      </c>
      <c r="H71" s="245">
        <f t="shared" si="26"/>
        <v>0.51</v>
      </c>
      <c r="I71" s="250"/>
      <c r="J71" s="250"/>
      <c r="K71" s="78">
        <v>37</v>
      </c>
      <c r="L71" s="78">
        <v>30</v>
      </c>
      <c r="M71" s="81">
        <f t="shared" si="3"/>
        <v>67</v>
      </c>
      <c r="N71" s="268">
        <f>ROUND(AVERAGE(5-4*(M71)/(M9)),1)</f>
        <v>2.2999999999999998</v>
      </c>
      <c r="O71" s="232">
        <f t="shared" si="4"/>
        <v>0.34499999999999997</v>
      </c>
      <c r="P71" s="250"/>
      <c r="Q71" s="250"/>
      <c r="R71" s="86">
        <v>35</v>
      </c>
      <c r="S71" s="86">
        <v>29</v>
      </c>
      <c r="T71" s="93">
        <f t="shared" si="5"/>
        <v>64</v>
      </c>
      <c r="U71" s="106">
        <f>ROUND(AVERAGE(5-4*(T71)/(T9)),1)</f>
        <v>2.4</v>
      </c>
      <c r="V71" s="108">
        <f t="shared" si="6"/>
        <v>0.36</v>
      </c>
      <c r="W71" s="86">
        <v>80</v>
      </c>
      <c r="X71" s="95">
        <v>80</v>
      </c>
      <c r="Y71" s="96">
        <f t="shared" si="7"/>
        <v>160</v>
      </c>
      <c r="Z71" s="106">
        <f>ROUND(AVERAGE(5-4*(Y71)/(Y9)),1)</f>
        <v>1.8</v>
      </c>
      <c r="AA71" s="108">
        <f t="shared" si="8"/>
        <v>0.27</v>
      </c>
      <c r="AB71" s="98">
        <v>27</v>
      </c>
      <c r="AC71" s="106">
        <f t="shared" si="9"/>
        <v>1</v>
      </c>
      <c r="AD71" s="108">
        <f t="shared" si="10"/>
        <v>0.1</v>
      </c>
      <c r="AE71" s="86">
        <v>17</v>
      </c>
      <c r="AF71" s="107">
        <f t="shared" si="11"/>
        <v>4</v>
      </c>
      <c r="AG71" s="108">
        <f t="shared" si="12"/>
        <v>1.2</v>
      </c>
      <c r="AH71" s="96">
        <v>15</v>
      </c>
      <c r="AI71" s="93">
        <v>14</v>
      </c>
      <c r="AJ71" s="96">
        <f t="shared" si="13"/>
        <v>29</v>
      </c>
      <c r="AK71" s="106">
        <f>ROUND(AVERAGE(5-4*(AJ71)/(AJ9)),1)</f>
        <v>3.8</v>
      </c>
      <c r="AL71" s="108">
        <f t="shared" si="14"/>
        <v>0.56999999999999995</v>
      </c>
      <c r="AM71" s="93">
        <v>30</v>
      </c>
      <c r="AN71" s="93">
        <v>30</v>
      </c>
      <c r="AO71" s="96">
        <f t="shared" si="15"/>
        <v>60</v>
      </c>
      <c r="AP71" s="106">
        <f>ROUND(AVERAGE(5-4*(AO71)/(AO9)),1)</f>
        <v>2.6</v>
      </c>
      <c r="AQ71" s="158">
        <f t="shared" si="16"/>
        <v>0.39</v>
      </c>
      <c r="AR71" s="93">
        <v>32</v>
      </c>
      <c r="AS71" s="93">
        <v>35</v>
      </c>
      <c r="AT71" s="96">
        <v>32</v>
      </c>
      <c r="AU71" s="148">
        <f>ROUND(AVERAGE(5-4*(AT71)/(AT9)),1)</f>
        <v>3.7</v>
      </c>
      <c r="AV71" s="149">
        <f t="shared" si="18"/>
        <v>0.55500000000000005</v>
      </c>
      <c r="AW71" s="93">
        <v>95</v>
      </c>
      <c r="AX71" s="93">
        <v>95</v>
      </c>
      <c r="AY71" s="93">
        <v>80</v>
      </c>
      <c r="AZ71" s="93">
        <f t="shared" si="19"/>
        <v>270</v>
      </c>
      <c r="BA71" s="148">
        <f>ROUND(AVERAGE(5-4*(AZ71)/(AZ9)),1)</f>
        <v>1.4</v>
      </c>
      <c r="BB71" s="149">
        <f t="shared" si="20"/>
        <v>0.21</v>
      </c>
      <c r="BC71" s="475">
        <v>27</v>
      </c>
      <c r="BD71" s="148">
        <f>5-(4*BC71/BC9)</f>
        <v>1</v>
      </c>
      <c r="BE71" s="149">
        <f t="shared" si="21"/>
        <v>0.1</v>
      </c>
      <c r="BF71" s="81">
        <v>36</v>
      </c>
      <c r="BG71" s="236">
        <f>ROUND(AVERAGE(5-4*(BF71)/(BF9)),1)</f>
        <v>2.9</v>
      </c>
      <c r="BH71" s="151">
        <f t="shared" si="22"/>
        <v>0.87</v>
      </c>
      <c r="BI71" s="165">
        <f>H71+O71+V71+AA71+AD71+AG71</f>
        <v>2.7850000000000001</v>
      </c>
      <c r="BJ71" s="165">
        <f t="shared" si="28"/>
        <v>2.6950000000000003</v>
      </c>
      <c r="BK71" s="165">
        <f t="shared" si="25"/>
        <v>2.74</v>
      </c>
      <c r="BL71" s="81" t="s">
        <v>91</v>
      </c>
    </row>
    <row r="72" spans="1:64" x14ac:dyDescent="0.3">
      <c r="A72" s="109">
        <v>54</v>
      </c>
      <c r="B72" s="273" t="s">
        <v>203</v>
      </c>
      <c r="C72" s="237" t="s">
        <v>204</v>
      </c>
      <c r="D72" s="86">
        <v>12</v>
      </c>
      <c r="E72" s="86">
        <v>20</v>
      </c>
      <c r="F72" s="93">
        <f t="shared" si="0"/>
        <v>32</v>
      </c>
      <c r="G72" s="266">
        <f>ROUND(AVERAGE(5-4*(F72)/(F9)),1)</f>
        <v>3.7</v>
      </c>
      <c r="H72" s="245">
        <f t="shared" si="26"/>
        <v>0.55500000000000005</v>
      </c>
      <c r="I72" s="250"/>
      <c r="J72" s="250"/>
      <c r="K72" s="78">
        <v>38</v>
      </c>
      <c r="L72" s="78">
        <v>31</v>
      </c>
      <c r="M72" s="81">
        <f t="shared" si="3"/>
        <v>69</v>
      </c>
      <c r="N72" s="266">
        <f>ROUND(AVERAGE(5-4*(M72)/(M9)),1)</f>
        <v>2.2000000000000002</v>
      </c>
      <c r="O72" s="108">
        <f t="shared" si="4"/>
        <v>0.33</v>
      </c>
      <c r="P72" s="250"/>
      <c r="Q72" s="250"/>
      <c r="R72" s="86">
        <v>37</v>
      </c>
      <c r="S72" s="86">
        <v>33</v>
      </c>
      <c r="T72" s="93">
        <f t="shared" si="5"/>
        <v>70</v>
      </c>
      <c r="U72" s="106">
        <f>ROUND(AVERAGE(5-4*(T72)/(T9)),1)</f>
        <v>2.2000000000000002</v>
      </c>
      <c r="V72" s="108">
        <f t="shared" si="6"/>
        <v>0.33</v>
      </c>
      <c r="W72" s="86">
        <v>70</v>
      </c>
      <c r="X72" s="95">
        <v>80</v>
      </c>
      <c r="Y72" s="96">
        <f t="shared" si="7"/>
        <v>150</v>
      </c>
      <c r="Z72" s="106">
        <f>ROUND(AVERAGE(5-4*(Y72)/(Y9)),1)</f>
        <v>2</v>
      </c>
      <c r="AA72" s="108">
        <f t="shared" si="8"/>
        <v>0.3</v>
      </c>
      <c r="AB72" s="98">
        <v>27</v>
      </c>
      <c r="AC72" s="106">
        <f t="shared" si="9"/>
        <v>1</v>
      </c>
      <c r="AD72" s="108">
        <f t="shared" si="10"/>
        <v>0.1</v>
      </c>
      <c r="AE72" s="86">
        <v>19</v>
      </c>
      <c r="AF72" s="107">
        <f t="shared" si="11"/>
        <v>3.9</v>
      </c>
      <c r="AG72" s="108">
        <f t="shared" si="12"/>
        <v>1.17</v>
      </c>
      <c r="AH72" s="96">
        <v>10</v>
      </c>
      <c r="AI72" s="93">
        <v>23</v>
      </c>
      <c r="AJ72" s="96">
        <f t="shared" si="13"/>
        <v>33</v>
      </c>
      <c r="AK72" s="106">
        <f>ROUND(AVERAGE(5-4*(AJ72)/(AJ9)),1)</f>
        <v>3.7</v>
      </c>
      <c r="AL72" s="108">
        <f t="shared" si="14"/>
        <v>0.55500000000000005</v>
      </c>
      <c r="AM72" s="93">
        <v>32</v>
      </c>
      <c r="AN72" s="93">
        <v>32</v>
      </c>
      <c r="AO72" s="96">
        <f t="shared" si="15"/>
        <v>64</v>
      </c>
      <c r="AP72" s="106">
        <f>ROUND(AVERAGE(5-4*(AO72)/(AO9)),1)</f>
        <v>2.4</v>
      </c>
      <c r="AQ72" s="158">
        <f t="shared" si="16"/>
        <v>0.36</v>
      </c>
      <c r="AR72" s="93">
        <v>30</v>
      </c>
      <c r="AS72" s="93">
        <v>35</v>
      </c>
      <c r="AT72" s="96">
        <f t="shared" si="17"/>
        <v>65</v>
      </c>
      <c r="AU72" s="148">
        <f>ROUND(AVERAGE(5-4*(AT72)/(AT9)),1)</f>
        <v>2.4</v>
      </c>
      <c r="AV72" s="149">
        <f t="shared" si="18"/>
        <v>0.36</v>
      </c>
      <c r="AW72" s="93">
        <v>100</v>
      </c>
      <c r="AX72" s="93">
        <v>100</v>
      </c>
      <c r="AY72" s="93">
        <v>90</v>
      </c>
      <c r="AZ72" s="93">
        <f t="shared" si="19"/>
        <v>290</v>
      </c>
      <c r="BA72" s="148">
        <f>ROUND(AVERAGE(5-4*(AZ72)/(AZ9)),1)</f>
        <v>1.1000000000000001</v>
      </c>
      <c r="BB72" s="149">
        <f t="shared" si="20"/>
        <v>0.16500000000000001</v>
      </c>
      <c r="BC72" s="475">
        <v>27</v>
      </c>
      <c r="BD72" s="148">
        <f>5-(4*BC72/BC9)</f>
        <v>1</v>
      </c>
      <c r="BE72" s="149">
        <f t="shared" si="21"/>
        <v>0.1</v>
      </c>
      <c r="BF72" s="81">
        <v>18</v>
      </c>
      <c r="BG72" s="236">
        <f>ROUND(AVERAGE(5-4*(BF72)/(BF9)),1)</f>
        <v>4</v>
      </c>
      <c r="BH72" s="151">
        <f t="shared" si="22"/>
        <v>1.2</v>
      </c>
      <c r="BI72" s="165">
        <f t="shared" si="23"/>
        <v>2.7850000000000001</v>
      </c>
      <c r="BJ72" s="165">
        <f>AL72+AQ72+AV72+BB72+BE72+BH72</f>
        <v>2.74</v>
      </c>
      <c r="BK72" s="165">
        <v>2.7</v>
      </c>
      <c r="BL72" s="81" t="s">
        <v>91</v>
      </c>
    </row>
    <row r="73" spans="1:64" x14ac:dyDescent="0.3">
      <c r="A73" s="109">
        <v>55</v>
      </c>
      <c r="B73" s="273" t="s">
        <v>205</v>
      </c>
      <c r="C73" s="237" t="s">
        <v>206</v>
      </c>
      <c r="D73" s="86">
        <v>14</v>
      </c>
      <c r="E73" s="86">
        <v>19</v>
      </c>
      <c r="F73" s="93">
        <f>SUM(D73+E73)</f>
        <v>33</v>
      </c>
      <c r="G73" s="266">
        <f>ROUND(AVERAGE(5-4*(F73)/(F9)),1)</f>
        <v>3.7</v>
      </c>
      <c r="H73" s="245">
        <f t="shared" si="26"/>
        <v>0.55500000000000005</v>
      </c>
      <c r="I73" s="250"/>
      <c r="J73" s="250"/>
      <c r="K73" s="78">
        <v>38</v>
      </c>
      <c r="L73" s="78">
        <v>30</v>
      </c>
      <c r="M73" s="81">
        <f t="shared" si="3"/>
        <v>68</v>
      </c>
      <c r="N73" s="266">
        <f>ROUND(AVERAGE(5-4*(M73)/(M9)),1)</f>
        <v>2.2999999999999998</v>
      </c>
      <c r="O73" s="108">
        <f t="shared" si="4"/>
        <v>0.34499999999999997</v>
      </c>
      <c r="P73" s="250"/>
      <c r="Q73" s="250"/>
      <c r="R73" s="86">
        <v>34</v>
      </c>
      <c r="S73" s="86">
        <v>31</v>
      </c>
      <c r="T73" s="93">
        <f t="shared" si="5"/>
        <v>65</v>
      </c>
      <c r="U73" s="106">
        <f>ROUND(AVERAGE(5-4*(T73)/(T9)),1)</f>
        <v>2.4</v>
      </c>
      <c r="V73" s="108">
        <f t="shared" si="6"/>
        <v>0.36</v>
      </c>
      <c r="W73" s="86">
        <v>70</v>
      </c>
      <c r="X73" s="95">
        <v>80</v>
      </c>
      <c r="Y73" s="96">
        <f t="shared" si="7"/>
        <v>150</v>
      </c>
      <c r="Z73" s="106">
        <f>ROUND(AVERAGE(5-4*(Y73)/(Y9)),1)</f>
        <v>2</v>
      </c>
      <c r="AA73" s="108">
        <f t="shared" si="8"/>
        <v>0.3</v>
      </c>
      <c r="AB73" s="98">
        <v>27</v>
      </c>
      <c r="AC73" s="106">
        <f t="shared" si="9"/>
        <v>1</v>
      </c>
      <c r="AD73" s="108">
        <f t="shared" si="10"/>
        <v>0.1</v>
      </c>
      <c r="AE73" s="86">
        <v>34</v>
      </c>
      <c r="AF73" s="107">
        <f t="shared" si="11"/>
        <v>3.1</v>
      </c>
      <c r="AG73" s="108">
        <f t="shared" si="12"/>
        <v>0.92999999999999994</v>
      </c>
      <c r="AH73" s="96">
        <v>10</v>
      </c>
      <c r="AI73" s="93">
        <v>24</v>
      </c>
      <c r="AJ73" s="96">
        <f t="shared" si="13"/>
        <v>34</v>
      </c>
      <c r="AK73" s="106">
        <f>ROUND(AVERAGE(5-4*(AJ73)/(AJ9)),1)</f>
        <v>3.6</v>
      </c>
      <c r="AL73" s="108">
        <f t="shared" si="14"/>
        <v>0.54</v>
      </c>
      <c r="AM73" s="93">
        <v>32</v>
      </c>
      <c r="AN73" s="93">
        <v>35</v>
      </c>
      <c r="AO73" s="96">
        <f t="shared" si="15"/>
        <v>67</v>
      </c>
      <c r="AP73" s="106">
        <f>ROUND(AVERAGE(5-4*(AO73)/(AO9)),1)</f>
        <v>2.2999999999999998</v>
      </c>
      <c r="AQ73" s="158">
        <f t="shared" si="16"/>
        <v>0.34499999999999997</v>
      </c>
      <c r="AR73" s="93">
        <v>33</v>
      </c>
      <c r="AS73" s="93">
        <v>35</v>
      </c>
      <c r="AT73" s="96">
        <f t="shared" si="17"/>
        <v>68</v>
      </c>
      <c r="AU73" s="148">
        <f>ROUND(AVERAGE(5-4*(AT73)/(AT9)),1)</f>
        <v>2.2999999999999998</v>
      </c>
      <c r="AV73" s="149">
        <f t="shared" si="18"/>
        <v>0.34499999999999997</v>
      </c>
      <c r="AW73" s="93">
        <v>100</v>
      </c>
      <c r="AX73" s="93">
        <v>100</v>
      </c>
      <c r="AY73" s="93">
        <v>90</v>
      </c>
      <c r="AZ73" s="93">
        <f t="shared" si="19"/>
        <v>290</v>
      </c>
      <c r="BA73" s="148">
        <f>ROUND(AVERAGE(5-4*(AZ73)/(AZ9)),1)</f>
        <v>1.1000000000000001</v>
      </c>
      <c r="BB73" s="149">
        <f t="shared" si="20"/>
        <v>0.16500000000000001</v>
      </c>
      <c r="BC73" s="475">
        <v>27</v>
      </c>
      <c r="BD73" s="148">
        <f>5-(4*BC73/BC9)</f>
        <v>1</v>
      </c>
      <c r="BE73" s="149">
        <f t="shared" si="21"/>
        <v>0.1</v>
      </c>
      <c r="BF73" s="81">
        <v>35</v>
      </c>
      <c r="BG73" s="236">
        <f>ROUND(AVERAGE(5-4*(BF73)/(BF9)),1)</f>
        <v>3</v>
      </c>
      <c r="BH73" s="149">
        <f t="shared" si="22"/>
        <v>0.89999999999999991</v>
      </c>
      <c r="BI73" s="165">
        <f t="shared" si="23"/>
        <v>2.59</v>
      </c>
      <c r="BJ73" s="165">
        <f t="shared" ref="BJ73" si="61">AL73+AQ73+AV73+BB73+BE73+BH73</f>
        <v>2.395</v>
      </c>
      <c r="BK73" s="165">
        <f t="shared" si="25"/>
        <v>2.4924999999999997</v>
      </c>
      <c r="BL73" s="81" t="s">
        <v>91</v>
      </c>
    </row>
    <row r="74" spans="1:64" x14ac:dyDescent="0.3">
      <c r="A74" s="176"/>
      <c r="B74" s="176"/>
      <c r="C74" s="270" t="s">
        <v>211</v>
      </c>
      <c r="D74" s="4"/>
      <c r="E74" s="4"/>
      <c r="F74" s="4"/>
      <c r="G74" s="4"/>
      <c r="H74" s="4"/>
      <c r="I74" s="4"/>
      <c r="J74" s="4"/>
      <c r="K74" s="4"/>
      <c r="L74" s="58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</row>
    <row r="75" spans="1:64" x14ac:dyDescent="0.3">
      <c r="A75" s="474"/>
      <c r="B75" s="474"/>
      <c r="C75" s="490"/>
      <c r="D75" s="474"/>
      <c r="E75" s="474"/>
      <c r="F75" s="474"/>
      <c r="G75" s="474"/>
      <c r="H75" s="474"/>
      <c r="I75" s="474"/>
      <c r="J75" s="474"/>
      <c r="K75" s="474"/>
      <c r="L75" s="491"/>
      <c r="M75" s="474"/>
      <c r="N75" s="474"/>
      <c r="O75" s="474"/>
      <c r="P75" s="474"/>
      <c r="Q75" s="474"/>
      <c r="R75" s="474"/>
      <c r="S75" s="474"/>
      <c r="T75" s="474"/>
      <c r="U75" s="474"/>
      <c r="V75" s="474"/>
      <c r="W75" s="474"/>
      <c r="X75" s="474"/>
      <c r="Y75" s="474"/>
      <c r="Z75" s="474"/>
      <c r="AA75" s="474"/>
      <c r="AB75" s="474"/>
      <c r="AC75" s="474"/>
      <c r="AD75" s="474"/>
      <c r="AE75" s="474"/>
      <c r="AF75" s="474"/>
      <c r="AG75" s="474"/>
      <c r="AH75" s="474"/>
      <c r="AI75" s="474"/>
      <c r="AJ75" s="474"/>
      <c r="AK75" s="474"/>
      <c r="AL75" s="474"/>
      <c r="AM75" s="474"/>
      <c r="AN75" s="474"/>
      <c r="AO75" s="474"/>
      <c r="AP75" s="474"/>
      <c r="AQ75" s="474"/>
      <c r="AR75" s="474"/>
      <c r="AS75" s="474"/>
      <c r="AT75" s="474"/>
      <c r="AU75" s="474"/>
      <c r="AV75" s="474"/>
      <c r="AW75" s="474"/>
      <c r="AX75" s="474"/>
      <c r="AY75" s="474"/>
      <c r="AZ75" s="474"/>
      <c r="BA75" s="474"/>
      <c r="BB75" s="474"/>
      <c r="BC75" s="474"/>
      <c r="BD75" s="474"/>
      <c r="BE75" s="474"/>
      <c r="BF75" s="474"/>
      <c r="BG75" s="474"/>
      <c r="BH75" s="474"/>
      <c r="BI75" s="474"/>
      <c r="BJ75" s="474"/>
      <c r="BK75" s="474"/>
      <c r="BL75" s="474"/>
    </row>
    <row r="76" spans="1:64" x14ac:dyDescent="0.3">
      <c r="A76" s="474"/>
      <c r="B76" s="474"/>
      <c r="C76" s="490"/>
      <c r="D76" s="474"/>
      <c r="E76" s="474"/>
      <c r="F76" s="474"/>
      <c r="G76" s="474"/>
      <c r="H76" s="474"/>
      <c r="I76" s="474"/>
      <c r="J76" s="474"/>
      <c r="K76" s="474"/>
      <c r="L76" s="491"/>
      <c r="M76" s="474"/>
      <c r="N76" s="474"/>
      <c r="O76" s="474"/>
      <c r="P76" s="474"/>
      <c r="Q76" s="474"/>
      <c r="R76" s="474"/>
      <c r="S76" s="474"/>
      <c r="T76" s="474"/>
      <c r="U76" s="474"/>
      <c r="V76" s="474"/>
      <c r="W76" s="474"/>
      <c r="X76" s="474"/>
      <c r="Y76" s="474"/>
      <c r="Z76" s="474"/>
      <c r="AA76" s="474"/>
      <c r="AB76" s="474"/>
      <c r="AC76" s="474"/>
      <c r="AD76" s="474"/>
      <c r="AE76" s="474"/>
      <c r="AF76" s="474"/>
      <c r="AG76" s="474"/>
      <c r="AH76" s="474"/>
      <c r="AI76" s="474"/>
      <c r="AJ76" s="474"/>
      <c r="AK76" s="474"/>
      <c r="AL76" s="474"/>
      <c r="AM76" s="474"/>
      <c r="AN76" s="474"/>
      <c r="AO76" s="474"/>
      <c r="AP76" s="474"/>
      <c r="AQ76" s="474"/>
      <c r="AR76" s="474"/>
      <c r="AS76" s="474"/>
      <c r="AT76" s="474"/>
      <c r="AU76" s="474"/>
      <c r="AV76" s="474"/>
      <c r="AW76" s="474"/>
      <c r="AX76" s="474"/>
      <c r="AY76" s="474"/>
      <c r="AZ76" s="474"/>
      <c r="BA76" s="474"/>
      <c r="BB76" s="474"/>
      <c r="BC76" s="474"/>
      <c r="BD76" s="474"/>
      <c r="BE76" s="474"/>
      <c r="BF76" s="474"/>
      <c r="BG76" s="474"/>
      <c r="BH76" s="474"/>
      <c r="BI76" s="474"/>
      <c r="BJ76" s="474"/>
      <c r="BK76" s="474"/>
      <c r="BL76" s="474"/>
    </row>
    <row r="77" spans="1:64" x14ac:dyDescent="0.3">
      <c r="A77" s="474"/>
      <c r="B77" s="474"/>
      <c r="C77" s="490"/>
      <c r="D77" s="474"/>
      <c r="E77" s="474"/>
      <c r="F77" s="474"/>
      <c r="G77" s="474"/>
      <c r="H77" s="474"/>
      <c r="I77" s="474"/>
      <c r="J77" s="474"/>
      <c r="K77" s="474"/>
      <c r="L77" s="491"/>
      <c r="M77" s="474"/>
      <c r="N77" s="474"/>
      <c r="O77" s="474"/>
      <c r="P77" s="474"/>
      <c r="Q77" s="474"/>
      <c r="R77" s="474"/>
      <c r="S77" s="474"/>
      <c r="T77" s="474"/>
      <c r="U77" s="474"/>
      <c r="V77" s="474"/>
      <c r="W77" s="474"/>
      <c r="X77" s="474"/>
      <c r="Y77" s="474"/>
      <c r="Z77" s="474"/>
      <c r="AA77" s="474"/>
      <c r="AB77" s="474"/>
      <c r="AC77" s="474"/>
      <c r="AD77" s="474"/>
      <c r="AE77" s="474"/>
      <c r="AF77" s="474"/>
      <c r="AG77" s="474"/>
      <c r="AH77" s="474"/>
      <c r="AI77" s="474"/>
      <c r="AJ77" s="474"/>
      <c r="AK77" s="474"/>
      <c r="AL77" s="474"/>
      <c r="AM77" s="474"/>
      <c r="AN77" s="474"/>
      <c r="AO77" s="474"/>
      <c r="AP77" s="474"/>
      <c r="AQ77" s="474"/>
      <c r="AR77" s="474"/>
      <c r="AS77" s="474"/>
      <c r="AT77" s="474"/>
      <c r="AU77" s="474"/>
      <c r="AV77" s="474"/>
      <c r="AW77" s="474"/>
      <c r="AX77" s="474"/>
      <c r="AY77" s="474"/>
      <c r="AZ77" s="474"/>
      <c r="BA77" s="474"/>
      <c r="BB77" s="474"/>
      <c r="BC77" s="474"/>
      <c r="BD77" s="474"/>
      <c r="BE77" s="474"/>
      <c r="BF77" s="474"/>
      <c r="BG77" s="474"/>
      <c r="BH77" s="474"/>
      <c r="BI77" s="474"/>
      <c r="BJ77" s="474"/>
      <c r="BK77" s="474"/>
      <c r="BL77" s="474"/>
    </row>
    <row r="78" spans="1:64" x14ac:dyDescent="0.3">
      <c r="A78" s="556"/>
      <c r="B78" s="556"/>
      <c r="K78" s="23"/>
      <c r="L78"/>
      <c r="M78" s="23"/>
      <c r="V78" s="66"/>
      <c r="Z78" s="541"/>
      <c r="AA78" s="541"/>
      <c r="AB78" s="541"/>
      <c r="AC78" s="541"/>
      <c r="AQ78" s="493"/>
      <c r="AR78" s="493"/>
      <c r="AS78" s="493"/>
      <c r="AT78" s="493"/>
      <c r="AU78" s="493"/>
      <c r="AV78" s="493"/>
      <c r="AW78" s="493"/>
      <c r="AX78" s="493"/>
      <c r="AY78" s="493"/>
      <c r="AZ78" s="493"/>
      <c r="BA78" s="493"/>
      <c r="BB78" s="493"/>
      <c r="BC78" s="493"/>
      <c r="BD78" s="493"/>
      <c r="BE78" s="493"/>
      <c r="BF78" s="493"/>
      <c r="BG78" s="493"/>
      <c r="BH78" s="493"/>
      <c r="BI78" s="493"/>
      <c r="BJ78" s="493"/>
      <c r="BK78" s="493"/>
      <c r="BL78" s="493"/>
    </row>
    <row r="79" spans="1:64" x14ac:dyDescent="0.3">
      <c r="B79" s="557" t="s">
        <v>60</v>
      </c>
      <c r="C79" s="557"/>
      <c r="D79" s="557"/>
      <c r="E79" s="557"/>
      <c r="F79" s="557"/>
      <c r="K79" s="23"/>
      <c r="L79"/>
      <c r="M79" s="23"/>
      <c r="Z79" s="104"/>
      <c r="AA79" s="104"/>
      <c r="AB79" s="104"/>
      <c r="AC79" s="104"/>
      <c r="AD79" s="104"/>
      <c r="AE79" s="104"/>
      <c r="AF79" s="104"/>
      <c r="AG79" s="104"/>
      <c r="AH79" s="104"/>
      <c r="AI79" s="104"/>
      <c r="AJ79" s="558" t="s">
        <v>18</v>
      </c>
      <c r="AK79" s="558"/>
      <c r="AL79" s="558"/>
      <c r="AM79" s="558"/>
      <c r="AN79" s="558"/>
      <c r="AO79" s="558"/>
      <c r="AP79" s="558"/>
      <c r="AQ79" s="46"/>
      <c r="AR79" s="46"/>
      <c r="AS79" s="46"/>
      <c r="AT79" s="46"/>
      <c r="AU79" s="46"/>
      <c r="AV79" s="46"/>
      <c r="AW79" s="46"/>
      <c r="AX79" s="46"/>
      <c r="AY79" s="46"/>
      <c r="AZ79" s="46"/>
      <c r="BA79" s="46"/>
      <c r="BB79" s="46"/>
      <c r="BC79" s="46"/>
      <c r="BD79" s="46"/>
      <c r="BE79" s="46"/>
      <c r="BF79" s="46"/>
      <c r="BG79" s="46"/>
      <c r="BH79" s="46"/>
      <c r="BI79" s="46"/>
      <c r="BJ79" s="46"/>
      <c r="BK79" s="46"/>
      <c r="BL79" s="46"/>
    </row>
    <row r="80" spans="1:64" x14ac:dyDescent="0.3">
      <c r="C80" s="540" t="s">
        <v>61</v>
      </c>
      <c r="D80" s="540"/>
      <c r="E80" s="540"/>
      <c r="F80" s="540"/>
      <c r="G80" s="540"/>
      <c r="H80" s="540"/>
      <c r="I80" s="540"/>
      <c r="J80" s="540"/>
      <c r="K80" s="540"/>
      <c r="L80" s="540"/>
      <c r="M80" s="540"/>
      <c r="AE80" s="173"/>
      <c r="AF80" s="173"/>
      <c r="AG80" s="173"/>
      <c r="AH80" s="173"/>
      <c r="AI80" s="173"/>
      <c r="AJ80" s="173"/>
      <c r="AK80" s="173"/>
      <c r="AL80" s="173"/>
      <c r="AM80" s="173"/>
      <c r="AN80" s="540" t="s">
        <v>519</v>
      </c>
      <c r="AO80" s="540"/>
      <c r="AP80" s="540"/>
      <c r="AQ80" s="540"/>
      <c r="AR80" s="540"/>
      <c r="AS80" s="540"/>
      <c r="AT80" s="540"/>
      <c r="AU80" s="540"/>
      <c r="AV80" s="540"/>
      <c r="AW80" s="540"/>
      <c r="AX80" s="540"/>
      <c r="AY80" s="540"/>
      <c r="AZ80" s="46"/>
      <c r="BA80" s="46"/>
      <c r="BB80" s="46"/>
      <c r="BC80" s="46"/>
      <c r="BD80" s="46"/>
      <c r="BE80" s="46"/>
      <c r="BF80" s="46"/>
      <c r="BG80" s="46"/>
      <c r="BH80" s="46"/>
      <c r="BI80" s="46"/>
      <c r="BJ80" s="46"/>
      <c r="BK80" s="46"/>
      <c r="BL80" s="46"/>
    </row>
    <row r="81" spans="3:64" x14ac:dyDescent="0.3">
      <c r="C81" s="541" t="s">
        <v>50</v>
      </c>
      <c r="D81" s="541"/>
      <c r="E81" s="541"/>
      <c r="F81" s="541"/>
      <c r="G81" s="541"/>
      <c r="H81" s="541"/>
      <c r="I81" s="541"/>
      <c r="J81" s="541"/>
      <c r="K81" s="541"/>
      <c r="AO81" s="542" t="s">
        <v>52</v>
      </c>
      <c r="AP81" s="542"/>
      <c r="AQ81" s="542"/>
      <c r="AR81" s="542"/>
      <c r="AS81" s="542"/>
      <c r="AT81" s="542"/>
      <c r="AU81" s="542"/>
      <c r="AV81" s="542"/>
      <c r="AW81" s="542"/>
      <c r="AX81" s="542"/>
      <c r="AY81" s="46"/>
      <c r="AZ81" s="46"/>
      <c r="BA81" s="46"/>
      <c r="BB81" s="46"/>
      <c r="BC81" s="46"/>
      <c r="BD81" s="46"/>
      <c r="BE81" s="46"/>
      <c r="BF81" s="46"/>
      <c r="BG81" s="46"/>
      <c r="BH81" s="46"/>
      <c r="BI81" s="46"/>
      <c r="BJ81" s="46"/>
      <c r="BK81" s="46"/>
      <c r="BL81" s="46"/>
    </row>
    <row r="82" spans="3:64" x14ac:dyDescent="0.3">
      <c r="AQ82" s="46"/>
      <c r="AR82" s="46"/>
      <c r="AS82" s="46"/>
      <c r="AT82" s="46"/>
      <c r="AU82" s="46"/>
      <c r="AV82" s="46"/>
      <c r="AW82" s="46"/>
      <c r="AX82" s="46"/>
      <c r="AY82" s="46"/>
      <c r="AZ82" s="46"/>
      <c r="BA82" s="46"/>
      <c r="BB82" s="46"/>
      <c r="BC82" s="46"/>
      <c r="BD82" s="46"/>
      <c r="BE82" s="46"/>
      <c r="BF82" s="46"/>
      <c r="BG82" s="46"/>
      <c r="BH82" s="46"/>
      <c r="BI82" s="46"/>
      <c r="BJ82" s="46"/>
      <c r="BK82" s="46"/>
      <c r="BL82" s="46"/>
    </row>
    <row r="83" spans="3:64" x14ac:dyDescent="0.3">
      <c r="AQ83" s="46"/>
      <c r="AR83" s="46"/>
      <c r="AS83" s="46"/>
      <c r="AT83" s="46"/>
      <c r="AU83" s="46"/>
      <c r="AV83" s="46"/>
      <c r="AW83" s="46"/>
      <c r="AX83" s="46"/>
      <c r="AY83" s="46"/>
      <c r="AZ83" s="46"/>
      <c r="BA83" s="46"/>
      <c r="BB83" s="46"/>
      <c r="BC83" s="46"/>
      <c r="BD83" s="46"/>
      <c r="BE83" s="46"/>
      <c r="BF83" s="46"/>
      <c r="BG83" s="46"/>
      <c r="BH83" s="46"/>
      <c r="BI83" s="46"/>
      <c r="BJ83" s="46"/>
      <c r="BK83" s="46"/>
      <c r="BL83" s="46"/>
    </row>
  </sheetData>
  <mergeCells count="85">
    <mergeCell ref="D65:H65"/>
    <mergeCell ref="I65:Z65"/>
    <mergeCell ref="AR65:AV65"/>
    <mergeCell ref="AW65:BH65"/>
    <mergeCell ref="AR63:AV63"/>
    <mergeCell ref="AW63:BH63"/>
    <mergeCell ref="D64:H64"/>
    <mergeCell ref="I64:Z64"/>
    <mergeCell ref="AR64:AV64"/>
    <mergeCell ref="AW64:BH64"/>
    <mergeCell ref="C80:M80"/>
    <mergeCell ref="AN80:AY80"/>
    <mergeCell ref="C81:K81"/>
    <mergeCell ref="AO81:AX81"/>
    <mergeCell ref="BG8:BG9"/>
    <mergeCell ref="AL8:AL9"/>
    <mergeCell ref="AP8:AP9"/>
    <mergeCell ref="AQ8:AQ9"/>
    <mergeCell ref="AR8:AS8"/>
    <mergeCell ref="AU8:AU9"/>
    <mergeCell ref="D62:H62"/>
    <mergeCell ref="I62:Z62"/>
    <mergeCell ref="AR62:AV62"/>
    <mergeCell ref="AW62:BH62"/>
    <mergeCell ref="D63:H63"/>
    <mergeCell ref="I63:Z63"/>
    <mergeCell ref="BH8:BH9"/>
    <mergeCell ref="A78:B78"/>
    <mergeCell ref="Z78:AC78"/>
    <mergeCell ref="B79:F79"/>
    <mergeCell ref="AJ79:AP79"/>
    <mergeCell ref="AV8:AV9"/>
    <mergeCell ref="AW8:AX8"/>
    <mergeCell ref="BA8:BA9"/>
    <mergeCell ref="BB8:BB9"/>
    <mergeCell ref="BD8:BD9"/>
    <mergeCell ref="BE8:BE9"/>
    <mergeCell ref="AC8:AC9"/>
    <mergeCell ref="AD8:AD9"/>
    <mergeCell ref="AF8:AF9"/>
    <mergeCell ref="AG8:AG9"/>
    <mergeCell ref="AK8:AK9"/>
    <mergeCell ref="BJ7:BJ9"/>
    <mergeCell ref="BK7:BK9"/>
    <mergeCell ref="BL7:BL9"/>
    <mergeCell ref="G8:G9"/>
    <mergeCell ref="H8:H9"/>
    <mergeCell ref="I8:J8"/>
    <mergeCell ref="N8:N9"/>
    <mergeCell ref="O8:O9"/>
    <mergeCell ref="R8:S8"/>
    <mergeCell ref="U8:U9"/>
    <mergeCell ref="AE7:AG7"/>
    <mergeCell ref="AH7:AL7"/>
    <mergeCell ref="AM7:AQ7"/>
    <mergeCell ref="AR7:BE7"/>
    <mergeCell ref="BF7:BH7"/>
    <mergeCell ref="BI7:BI9"/>
    <mergeCell ref="A7:A9"/>
    <mergeCell ref="B7:B9"/>
    <mergeCell ref="C7:C9"/>
    <mergeCell ref="D7:H7"/>
    <mergeCell ref="J7:P7"/>
    <mergeCell ref="Q7:AD7"/>
    <mergeCell ref="V8:V9"/>
    <mergeCell ref="W8:X8"/>
    <mergeCell ref="Z8:Z9"/>
    <mergeCell ref="AA8:AA9"/>
    <mergeCell ref="D4:H4"/>
    <mergeCell ref="I4:Z4"/>
    <mergeCell ref="AR4:AV4"/>
    <mergeCell ref="AW4:BH4"/>
    <mergeCell ref="D5:H5"/>
    <mergeCell ref="I5:Z5"/>
    <mergeCell ref="AR5:AV5"/>
    <mergeCell ref="AW5:BH5"/>
    <mergeCell ref="D3:H3"/>
    <mergeCell ref="I3:Z3"/>
    <mergeCell ref="AR3:AV3"/>
    <mergeCell ref="AW3:BH3"/>
    <mergeCell ref="C1:BL1"/>
    <mergeCell ref="D2:H2"/>
    <mergeCell ref="I2:Z2"/>
    <mergeCell ref="AR2:AV2"/>
    <mergeCell ref="AW2:BH2"/>
  </mergeCells>
  <pageMargins left="0.23622047244094491" right="0.23622047244094491" top="0.35433070866141736" bottom="0.21" header="0.31496062992125984" footer="0.31496062992125984"/>
  <pageSetup paperSize="14" scale="72" fitToHeight="0" orientation="landscape" horizontalDpi="4294967292" verticalDpi="4294967292" r:id="rId1"/>
  <rowBreaks count="1" manualBreakCount="1">
    <brk id="52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38F3F-B3B5-45CA-91EC-D942F8F680C4}">
  <sheetPr>
    <tabColor rgb="FF00B0F0"/>
    <pageSetUpPr fitToPage="1"/>
  </sheetPr>
  <dimension ref="A1:BL68"/>
  <sheetViews>
    <sheetView view="pageBreakPreview" topLeftCell="A40" zoomScale="102" zoomScaleNormal="103" zoomScaleSheetLayoutView="102" zoomScalePageLayoutView="140" workbookViewId="0">
      <selection activeCell="N55" sqref="N55"/>
    </sheetView>
  </sheetViews>
  <sheetFormatPr defaultColWidth="8.88671875" defaultRowHeight="14.4" x14ac:dyDescent="0.3"/>
  <cols>
    <col min="1" max="1" width="3.109375" customWidth="1"/>
    <col min="2" max="2" width="9.109375" customWidth="1"/>
    <col min="3" max="3" width="20" customWidth="1"/>
    <col min="4" max="5" width="3" customWidth="1"/>
    <col min="6" max="7" width="3.109375" customWidth="1"/>
    <col min="8" max="8" width="3.21875" customWidth="1"/>
    <col min="9" max="9" width="2.44140625" hidden="1" customWidth="1"/>
    <col min="10" max="10" width="30.109375" hidden="1" customWidth="1"/>
    <col min="11" max="11" width="2.88671875" customWidth="1"/>
    <col min="12" max="12" width="2.88671875" style="23" customWidth="1"/>
    <col min="13" max="13" width="3.21875" customWidth="1"/>
    <col min="14" max="14" width="3.109375" customWidth="1"/>
    <col min="15" max="15" width="3.33203125" customWidth="1"/>
    <col min="16" max="16" width="2.77734375" hidden="1" customWidth="1"/>
    <col min="17" max="17" width="3" hidden="1" customWidth="1"/>
    <col min="18" max="18" width="3.109375" customWidth="1"/>
    <col min="19" max="19" width="2.77734375" customWidth="1"/>
    <col min="20" max="20" width="3.21875" customWidth="1"/>
    <col min="21" max="21" width="3.109375" customWidth="1"/>
    <col min="22" max="22" width="3.6640625" customWidth="1"/>
    <col min="23" max="23" width="3.21875" customWidth="1"/>
    <col min="24" max="24" width="3" customWidth="1"/>
    <col min="25" max="25" width="3.109375" customWidth="1"/>
    <col min="26" max="26" width="3.21875" customWidth="1"/>
    <col min="27" max="28" width="3.6640625" customWidth="1"/>
    <col min="29" max="30" width="3.33203125" customWidth="1"/>
    <col min="31" max="31" width="3.109375" customWidth="1"/>
    <col min="32" max="33" width="3.33203125" customWidth="1"/>
    <col min="34" max="34" width="2.77734375" customWidth="1"/>
    <col min="35" max="35" width="3" customWidth="1"/>
    <col min="36" max="36" width="3.21875" customWidth="1"/>
    <col min="37" max="37" width="3" customWidth="1"/>
    <col min="38" max="38" width="3.33203125" customWidth="1"/>
    <col min="39" max="39" width="3" customWidth="1"/>
    <col min="40" max="40" width="3.109375" customWidth="1"/>
    <col min="41" max="41" width="3.21875" customWidth="1"/>
    <col min="42" max="42" width="3" customWidth="1"/>
    <col min="43" max="43" width="3.33203125" customWidth="1"/>
    <col min="44" max="44" width="3" customWidth="1"/>
    <col min="45" max="45" width="3.21875" customWidth="1"/>
    <col min="46" max="47" width="3.109375" customWidth="1"/>
    <col min="48" max="48" width="3.6640625" customWidth="1"/>
    <col min="49" max="49" width="3" customWidth="1"/>
    <col min="50" max="50" width="3.21875" customWidth="1"/>
    <col min="51" max="51" width="3.33203125" customWidth="1"/>
    <col min="52" max="53" width="3.21875" customWidth="1"/>
    <col min="54" max="54" width="3.33203125" customWidth="1"/>
    <col min="55" max="55" width="3.77734375" customWidth="1"/>
    <col min="56" max="56" width="2.77734375" customWidth="1"/>
    <col min="57" max="57" width="3.6640625" customWidth="1"/>
    <col min="58" max="58" width="3.44140625" customWidth="1"/>
    <col min="59" max="59" width="3.33203125" customWidth="1"/>
    <col min="60" max="60" width="3.6640625" customWidth="1"/>
    <col min="61" max="62" width="3.33203125" customWidth="1"/>
    <col min="63" max="63" width="3.5546875" customWidth="1"/>
    <col min="64" max="64" width="8.44140625" customWidth="1"/>
  </cols>
  <sheetData>
    <row r="1" spans="1:64" ht="15.9" customHeight="1" x14ac:dyDescent="0.3">
      <c r="C1" s="538" t="s">
        <v>209</v>
      </c>
      <c r="D1" s="538"/>
      <c r="E1" s="538"/>
      <c r="F1" s="538"/>
      <c r="G1" s="538"/>
      <c r="H1" s="538"/>
      <c r="I1" s="538"/>
      <c r="J1" s="538"/>
      <c r="K1" s="538"/>
      <c r="L1" s="538"/>
      <c r="M1" s="538"/>
      <c r="N1" s="538"/>
      <c r="O1" s="538"/>
      <c r="P1" s="538"/>
      <c r="Q1" s="538"/>
      <c r="R1" s="538"/>
      <c r="S1" s="538"/>
      <c r="T1" s="538"/>
      <c r="U1" s="538"/>
      <c r="V1" s="538"/>
      <c r="W1" s="538"/>
      <c r="X1" s="538"/>
      <c r="Y1" s="538"/>
      <c r="Z1" s="538"/>
      <c r="AA1" s="538"/>
      <c r="AB1" s="538"/>
      <c r="AC1" s="538"/>
      <c r="AD1" s="538"/>
      <c r="AE1" s="538"/>
      <c r="AF1" s="538"/>
      <c r="AG1" s="538"/>
      <c r="AH1" s="538"/>
      <c r="AI1" s="538"/>
      <c r="AJ1" s="538"/>
      <c r="AK1" s="538"/>
      <c r="AL1" s="538"/>
      <c r="AM1" s="538"/>
      <c r="AN1" s="538"/>
      <c r="AO1" s="538"/>
      <c r="AP1" s="538"/>
      <c r="AQ1" s="538"/>
      <c r="AR1" s="538"/>
      <c r="AS1" s="538"/>
      <c r="AT1" s="538"/>
      <c r="AU1" s="538"/>
      <c r="AV1" s="538"/>
      <c r="AW1" s="538"/>
      <c r="AX1" s="538"/>
      <c r="AY1" s="538"/>
      <c r="AZ1" s="538"/>
      <c r="BA1" s="538"/>
      <c r="BB1" s="538"/>
      <c r="BC1" s="538"/>
      <c r="BD1" s="538"/>
      <c r="BE1" s="538"/>
      <c r="BF1" s="538"/>
      <c r="BG1" s="538"/>
      <c r="BH1" s="538"/>
      <c r="BI1" s="538"/>
      <c r="BJ1" s="538"/>
      <c r="BK1" s="538"/>
      <c r="BL1" s="538"/>
    </row>
    <row r="2" spans="1:64" ht="15" customHeight="1" x14ac:dyDescent="0.3">
      <c r="C2" s="222"/>
      <c r="D2" s="632" t="s">
        <v>19</v>
      </c>
      <c r="E2" s="632"/>
      <c r="F2" s="632"/>
      <c r="G2" s="632"/>
      <c r="H2" s="632"/>
      <c r="I2" s="633" t="s">
        <v>63</v>
      </c>
      <c r="J2" s="633"/>
      <c r="K2" s="633"/>
      <c r="L2" s="633"/>
      <c r="M2" s="633"/>
      <c r="N2" s="633"/>
      <c r="O2" s="633"/>
      <c r="P2" s="633"/>
      <c r="Q2" s="633"/>
      <c r="R2" s="633"/>
      <c r="S2" s="633"/>
      <c r="T2" s="633"/>
      <c r="U2" s="633"/>
      <c r="V2" s="633"/>
      <c r="W2" s="633"/>
      <c r="X2" s="633"/>
      <c r="Y2" s="633"/>
      <c r="Z2" s="633"/>
      <c r="AR2" s="634" t="s">
        <v>21</v>
      </c>
      <c r="AS2" s="634"/>
      <c r="AT2" s="634"/>
      <c r="AU2" s="634"/>
      <c r="AV2" s="634"/>
      <c r="AW2" s="635" t="s">
        <v>210</v>
      </c>
      <c r="AX2" s="635"/>
      <c r="AY2" s="635"/>
      <c r="AZ2" s="635"/>
      <c r="BA2" s="635"/>
      <c r="BB2" s="635"/>
      <c r="BC2" s="635"/>
      <c r="BD2" s="635"/>
      <c r="BE2" s="635"/>
      <c r="BF2" s="635"/>
      <c r="BG2" s="635"/>
      <c r="BH2" s="635"/>
    </row>
    <row r="3" spans="1:64" ht="15" customHeight="1" x14ac:dyDescent="0.3">
      <c r="D3" s="632" t="s">
        <v>20</v>
      </c>
      <c r="E3" s="632"/>
      <c r="F3" s="632"/>
      <c r="G3" s="632"/>
      <c r="H3" s="632"/>
      <c r="I3" s="633" t="s">
        <v>64</v>
      </c>
      <c r="J3" s="633"/>
      <c r="K3" s="633"/>
      <c r="L3" s="633"/>
      <c r="M3" s="633"/>
      <c r="N3" s="633"/>
      <c r="O3" s="633"/>
      <c r="P3" s="633"/>
      <c r="Q3" s="633"/>
      <c r="R3" s="633"/>
      <c r="S3" s="633"/>
      <c r="T3" s="633"/>
      <c r="U3" s="633"/>
      <c r="V3" s="633"/>
      <c r="W3" s="633"/>
      <c r="X3" s="633"/>
      <c r="Y3" s="633"/>
      <c r="Z3" s="633"/>
      <c r="AR3" s="634" t="s">
        <v>40</v>
      </c>
      <c r="AS3" s="634"/>
      <c r="AT3" s="634"/>
      <c r="AU3" s="634"/>
      <c r="AV3" s="634"/>
      <c r="AW3" s="635" t="s">
        <v>66</v>
      </c>
      <c r="AX3" s="635"/>
      <c r="AY3" s="635"/>
      <c r="AZ3" s="635"/>
      <c r="BA3" s="635"/>
      <c r="BB3" s="635"/>
      <c r="BC3" s="635"/>
      <c r="BD3" s="635"/>
      <c r="BE3" s="635"/>
      <c r="BF3" s="635"/>
      <c r="BG3" s="635"/>
      <c r="BH3" s="635"/>
    </row>
    <row r="4" spans="1:64" ht="15" customHeight="1" x14ac:dyDescent="0.3">
      <c r="C4" s="222" t="s">
        <v>36</v>
      </c>
      <c r="D4" s="632" t="s">
        <v>22</v>
      </c>
      <c r="E4" s="632"/>
      <c r="F4" s="632"/>
      <c r="G4" s="632"/>
      <c r="H4" s="632"/>
      <c r="I4" s="633" t="s">
        <v>207</v>
      </c>
      <c r="J4" s="633"/>
      <c r="K4" s="633"/>
      <c r="L4" s="633"/>
      <c r="M4" s="633"/>
      <c r="N4" s="633"/>
      <c r="O4" s="633"/>
      <c r="P4" s="633"/>
      <c r="Q4" s="633"/>
      <c r="R4" s="633"/>
      <c r="S4" s="633"/>
      <c r="T4" s="633"/>
      <c r="U4" s="633"/>
      <c r="V4" s="633"/>
      <c r="W4" s="633"/>
      <c r="X4" s="633"/>
      <c r="Y4" s="633"/>
      <c r="Z4" s="633"/>
      <c r="AR4" s="634" t="s">
        <v>41</v>
      </c>
      <c r="AS4" s="634"/>
      <c r="AT4" s="634"/>
      <c r="AU4" s="634"/>
      <c r="AV4" s="634"/>
      <c r="AW4" s="635" t="s">
        <v>72</v>
      </c>
      <c r="AX4" s="635"/>
      <c r="AY4" s="635"/>
      <c r="AZ4" s="635"/>
      <c r="BA4" s="635"/>
      <c r="BB4" s="635"/>
      <c r="BC4" s="635"/>
      <c r="BD4" s="635"/>
      <c r="BE4" s="635"/>
      <c r="BF4" s="635"/>
      <c r="BG4" s="635"/>
      <c r="BH4" s="635"/>
    </row>
    <row r="5" spans="1:64" ht="15" customHeight="1" x14ac:dyDescent="0.3">
      <c r="C5" s="222"/>
      <c r="D5" s="632" t="s">
        <v>23</v>
      </c>
      <c r="E5" s="632"/>
      <c r="F5" s="632"/>
      <c r="G5" s="632"/>
      <c r="H5" s="632"/>
      <c r="I5" s="633" t="s">
        <v>65</v>
      </c>
      <c r="J5" s="633"/>
      <c r="K5" s="633"/>
      <c r="L5" s="633"/>
      <c r="M5" s="633"/>
      <c r="N5" s="633"/>
      <c r="O5" s="633"/>
      <c r="P5" s="633"/>
      <c r="Q5" s="633"/>
      <c r="R5" s="633"/>
      <c r="S5" s="633"/>
      <c r="T5" s="633"/>
      <c r="U5" s="633"/>
      <c r="V5" s="633"/>
      <c r="W5" s="633"/>
      <c r="X5" s="633"/>
      <c r="Y5" s="633"/>
      <c r="Z5" s="633"/>
      <c r="AR5" s="634" t="s">
        <v>42</v>
      </c>
      <c r="AS5" s="634"/>
      <c r="AT5" s="634"/>
      <c r="AU5" s="634"/>
      <c r="AV5" s="634"/>
      <c r="AW5" s="635" t="s">
        <v>208</v>
      </c>
      <c r="AX5" s="635"/>
      <c r="AY5" s="635"/>
      <c r="AZ5" s="635"/>
      <c r="BA5" s="635"/>
      <c r="BB5" s="635"/>
      <c r="BC5" s="635"/>
      <c r="BD5" s="635"/>
      <c r="BE5" s="635"/>
      <c r="BF5" s="635"/>
      <c r="BG5" s="635"/>
      <c r="BH5" s="635"/>
    </row>
    <row r="6" spans="1:64" x14ac:dyDescent="0.3">
      <c r="C6" s="6" t="s">
        <v>37</v>
      </c>
      <c r="D6" s="16"/>
      <c r="E6" s="16"/>
      <c r="I6" s="5"/>
      <c r="K6" s="10"/>
      <c r="M6" s="7"/>
      <c r="Y6" s="8"/>
    </row>
    <row r="7" spans="1:64" ht="18.75" customHeight="1" x14ac:dyDescent="0.3">
      <c r="A7" s="610" t="s">
        <v>8</v>
      </c>
      <c r="B7" s="613" t="s">
        <v>24</v>
      </c>
      <c r="C7" s="616" t="s">
        <v>17</v>
      </c>
      <c r="D7" s="619" t="s">
        <v>62</v>
      </c>
      <c r="E7" s="620"/>
      <c r="F7" s="620"/>
      <c r="G7" s="620"/>
      <c r="H7" s="621"/>
      <c r="I7" s="69"/>
      <c r="J7" s="622" t="s">
        <v>67</v>
      </c>
      <c r="K7" s="623"/>
      <c r="L7" s="623"/>
      <c r="M7" s="623"/>
      <c r="N7" s="623"/>
      <c r="O7" s="623"/>
      <c r="P7" s="624"/>
      <c r="Q7" s="625" t="s">
        <v>30</v>
      </c>
      <c r="R7" s="626"/>
      <c r="S7" s="626"/>
      <c r="T7" s="626"/>
      <c r="U7" s="626"/>
      <c r="V7" s="626"/>
      <c r="W7" s="626"/>
      <c r="X7" s="626"/>
      <c r="Y7" s="626"/>
      <c r="Z7" s="626"/>
      <c r="AA7" s="626"/>
      <c r="AB7" s="626"/>
      <c r="AC7" s="626"/>
      <c r="AD7" s="627"/>
      <c r="AE7" s="595" t="s">
        <v>31</v>
      </c>
      <c r="AF7" s="596"/>
      <c r="AG7" s="596"/>
      <c r="AH7" s="597" t="s">
        <v>62</v>
      </c>
      <c r="AI7" s="598"/>
      <c r="AJ7" s="598"/>
      <c r="AK7" s="598"/>
      <c r="AL7" s="598"/>
      <c r="AM7" s="599" t="s">
        <v>67</v>
      </c>
      <c r="AN7" s="600"/>
      <c r="AO7" s="600"/>
      <c r="AP7" s="600"/>
      <c r="AQ7" s="601"/>
      <c r="AR7" s="602" t="s">
        <v>75</v>
      </c>
      <c r="AS7" s="603"/>
      <c r="AT7" s="603"/>
      <c r="AU7" s="603"/>
      <c r="AV7" s="603"/>
      <c r="AW7" s="603"/>
      <c r="AX7" s="603"/>
      <c r="AY7" s="603"/>
      <c r="AZ7" s="603"/>
      <c r="BA7" s="603"/>
      <c r="BB7" s="603"/>
      <c r="BC7" s="603"/>
      <c r="BD7" s="603"/>
      <c r="BE7" s="604"/>
      <c r="BF7" s="605" t="s">
        <v>32</v>
      </c>
      <c r="BG7" s="606"/>
      <c r="BH7" s="606"/>
      <c r="BI7" s="607" t="s">
        <v>88</v>
      </c>
      <c r="BJ7" s="578" t="s">
        <v>89</v>
      </c>
      <c r="BK7" s="581" t="s">
        <v>90</v>
      </c>
      <c r="BL7" s="584" t="s">
        <v>16</v>
      </c>
    </row>
    <row r="8" spans="1:64" ht="15.75" customHeight="1" x14ac:dyDescent="0.3">
      <c r="A8" s="611"/>
      <c r="B8" s="614"/>
      <c r="C8" s="617"/>
      <c r="D8" s="88" t="s">
        <v>25</v>
      </c>
      <c r="E8" s="89" t="s">
        <v>26</v>
      </c>
      <c r="F8" s="131" t="s">
        <v>70</v>
      </c>
      <c r="G8" s="587" t="s">
        <v>27</v>
      </c>
      <c r="H8" s="570">
        <v>0.15</v>
      </c>
      <c r="I8" s="590" t="s">
        <v>33</v>
      </c>
      <c r="J8" s="591"/>
      <c r="K8" s="91" t="s">
        <v>33</v>
      </c>
      <c r="L8" s="92" t="s">
        <v>34</v>
      </c>
      <c r="M8" s="132" t="s">
        <v>70</v>
      </c>
      <c r="N8" s="576" t="s">
        <v>27</v>
      </c>
      <c r="O8" s="570">
        <v>0.15</v>
      </c>
      <c r="P8" s="72"/>
      <c r="Q8" s="73"/>
      <c r="R8" s="592" t="s">
        <v>68</v>
      </c>
      <c r="S8" s="593"/>
      <c r="T8" s="224" t="s">
        <v>70</v>
      </c>
      <c r="U8" s="594" t="s">
        <v>27</v>
      </c>
      <c r="V8" s="548">
        <v>0.15</v>
      </c>
      <c r="W8" s="628" t="s">
        <v>69</v>
      </c>
      <c r="X8" s="629"/>
      <c r="Y8" s="130" t="s">
        <v>70</v>
      </c>
      <c r="Z8" s="630" t="s">
        <v>27</v>
      </c>
      <c r="AA8" s="559">
        <v>0.15</v>
      </c>
      <c r="AB8" s="97" t="s">
        <v>71</v>
      </c>
      <c r="AC8" s="568" t="s">
        <v>27</v>
      </c>
      <c r="AD8" s="570">
        <v>0.1</v>
      </c>
      <c r="AE8" s="99" t="s">
        <v>28</v>
      </c>
      <c r="AF8" s="572" t="s">
        <v>29</v>
      </c>
      <c r="AG8" s="574">
        <v>0.3</v>
      </c>
      <c r="AH8" s="133" t="s">
        <v>76</v>
      </c>
      <c r="AI8" s="134" t="s">
        <v>77</v>
      </c>
      <c r="AJ8" s="135" t="s">
        <v>70</v>
      </c>
      <c r="AK8" s="576" t="s">
        <v>27</v>
      </c>
      <c r="AL8" s="545">
        <v>0.15</v>
      </c>
      <c r="AM8" s="116" t="s">
        <v>78</v>
      </c>
      <c r="AN8" s="137" t="s">
        <v>79</v>
      </c>
      <c r="AO8" s="136" t="s">
        <v>70</v>
      </c>
      <c r="AP8" s="547" t="s">
        <v>27</v>
      </c>
      <c r="AQ8" s="548">
        <v>0.15</v>
      </c>
      <c r="AR8" s="550" t="s">
        <v>68</v>
      </c>
      <c r="AS8" s="551"/>
      <c r="AT8" s="138" t="s">
        <v>70</v>
      </c>
      <c r="AU8" s="552" t="s">
        <v>27</v>
      </c>
      <c r="AV8" s="559">
        <v>0.15</v>
      </c>
      <c r="AW8" s="561" t="s">
        <v>69</v>
      </c>
      <c r="AX8" s="562"/>
      <c r="AY8" s="121" t="s">
        <v>74</v>
      </c>
      <c r="AZ8" s="140" t="s">
        <v>70</v>
      </c>
      <c r="BA8" s="563" t="s">
        <v>27</v>
      </c>
      <c r="BB8" s="565">
        <v>0.15</v>
      </c>
      <c r="BC8" s="139" t="s">
        <v>71</v>
      </c>
      <c r="BD8" s="567" t="s">
        <v>27</v>
      </c>
      <c r="BE8" s="545">
        <v>0.1</v>
      </c>
      <c r="BF8" s="155" t="s">
        <v>28</v>
      </c>
      <c r="BG8" s="543" t="s">
        <v>29</v>
      </c>
      <c r="BH8" s="554">
        <v>0.3</v>
      </c>
      <c r="BI8" s="608"/>
      <c r="BJ8" s="579"/>
      <c r="BK8" s="582"/>
      <c r="BL8" s="585"/>
    </row>
    <row r="9" spans="1:64" ht="13.5" customHeight="1" x14ac:dyDescent="0.3">
      <c r="A9" s="612"/>
      <c r="B9" s="615"/>
      <c r="C9" s="618"/>
      <c r="D9" s="71">
        <v>50</v>
      </c>
      <c r="E9" s="71">
        <v>50</v>
      </c>
      <c r="F9" s="85">
        <v>100</v>
      </c>
      <c r="G9" s="588"/>
      <c r="H9" s="589"/>
      <c r="I9" s="19"/>
      <c r="J9" s="85">
        <v>30</v>
      </c>
      <c r="K9" s="85">
        <v>50</v>
      </c>
      <c r="L9" s="85">
        <v>50</v>
      </c>
      <c r="M9" s="71">
        <v>100</v>
      </c>
      <c r="N9" s="577"/>
      <c r="O9" s="571"/>
      <c r="P9" s="21" t="e">
        <f>ROUND(5-4*#REF!/50,1)</f>
        <v>#REF!</v>
      </c>
      <c r="Q9" s="21" t="e">
        <f>ROUND(5-4*P9/50,1)</f>
        <v>#REF!</v>
      </c>
      <c r="R9" s="269">
        <v>50</v>
      </c>
      <c r="S9" s="85">
        <v>50</v>
      </c>
      <c r="T9" s="94">
        <v>100</v>
      </c>
      <c r="U9" s="594"/>
      <c r="V9" s="549"/>
      <c r="W9" s="82">
        <v>100</v>
      </c>
      <c r="X9" s="82">
        <v>100</v>
      </c>
      <c r="Y9" s="82">
        <v>200</v>
      </c>
      <c r="Z9" s="631"/>
      <c r="AA9" s="560"/>
      <c r="AB9" s="19">
        <v>27</v>
      </c>
      <c r="AC9" s="569"/>
      <c r="AD9" s="571"/>
      <c r="AE9" s="19">
        <v>70</v>
      </c>
      <c r="AF9" s="573"/>
      <c r="AG9" s="575"/>
      <c r="AH9" s="19">
        <v>50</v>
      </c>
      <c r="AI9" s="19">
        <v>50</v>
      </c>
      <c r="AJ9" s="82">
        <v>100</v>
      </c>
      <c r="AK9" s="577"/>
      <c r="AL9" s="546"/>
      <c r="AM9" s="125">
        <v>50</v>
      </c>
      <c r="AN9" s="82">
        <v>50</v>
      </c>
      <c r="AO9" s="82">
        <v>100</v>
      </c>
      <c r="AP9" s="547"/>
      <c r="AQ9" s="549"/>
      <c r="AR9" s="82">
        <v>50</v>
      </c>
      <c r="AS9" s="127">
        <v>50</v>
      </c>
      <c r="AT9" s="82">
        <v>100</v>
      </c>
      <c r="AU9" s="553"/>
      <c r="AV9" s="560"/>
      <c r="AW9" s="127">
        <v>100</v>
      </c>
      <c r="AX9" s="127">
        <v>100</v>
      </c>
      <c r="AY9" s="127">
        <v>100</v>
      </c>
      <c r="AZ9" s="128">
        <v>300</v>
      </c>
      <c r="BA9" s="564"/>
      <c r="BB9" s="566"/>
      <c r="BC9" s="127">
        <v>27</v>
      </c>
      <c r="BD9" s="564"/>
      <c r="BE9" s="546"/>
      <c r="BF9" s="120">
        <v>70</v>
      </c>
      <c r="BG9" s="544"/>
      <c r="BH9" s="555"/>
      <c r="BI9" s="609"/>
      <c r="BJ9" s="580"/>
      <c r="BK9" s="583"/>
      <c r="BL9" s="586"/>
    </row>
    <row r="10" spans="1:64" ht="18" customHeight="1" x14ac:dyDescent="0.3">
      <c r="A10" s="42"/>
      <c r="B10" s="42"/>
      <c r="C10" s="239" t="s">
        <v>35</v>
      </c>
      <c r="D10" s="70"/>
      <c r="E10" s="70"/>
      <c r="F10" s="70"/>
      <c r="G10" s="70"/>
      <c r="H10" s="70"/>
      <c r="I10" s="72"/>
      <c r="J10" s="59"/>
      <c r="K10" s="59"/>
      <c r="L10" s="59"/>
      <c r="M10" s="59"/>
      <c r="N10" s="59"/>
      <c r="O10" s="59"/>
      <c r="P10" s="21" t="e">
        <f>ROUND(5-4*#REF!/10,1)</f>
        <v>#REF!</v>
      </c>
      <c r="Q10" s="22"/>
      <c r="R10" s="59"/>
      <c r="S10" s="66"/>
      <c r="T10" s="72"/>
      <c r="U10" s="84"/>
      <c r="V10" s="72"/>
      <c r="W10" s="59"/>
      <c r="X10" s="72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72"/>
      <c r="AO10" s="72"/>
      <c r="AP10" s="72"/>
      <c r="AR10" s="118"/>
      <c r="AS10" s="72"/>
      <c r="AT10" s="72"/>
    </row>
    <row r="11" spans="1:64" ht="15.75" customHeight="1" x14ac:dyDescent="0.3">
      <c r="A11" s="271">
        <v>1</v>
      </c>
      <c r="B11" s="273" t="s">
        <v>212</v>
      </c>
      <c r="C11" s="237" t="s">
        <v>213</v>
      </c>
      <c r="D11" s="86">
        <v>42</v>
      </c>
      <c r="E11" s="83">
        <v>26</v>
      </c>
      <c r="F11" s="93">
        <f>SUM(D11+E11)</f>
        <v>68</v>
      </c>
      <c r="G11" s="266">
        <f>ROUND(AVERAGE(5-4*(F11)/(F9)),1)</f>
        <v>2.2999999999999998</v>
      </c>
      <c r="H11" s="245">
        <f>G11*0.15</f>
        <v>0.34499999999999997</v>
      </c>
      <c r="I11" s="246">
        <v>28</v>
      </c>
      <c r="J11" s="247">
        <f>ROUND(5-4*I11/30,1)</f>
        <v>1.3</v>
      </c>
      <c r="K11" s="78">
        <v>30</v>
      </c>
      <c r="L11" s="78">
        <v>30</v>
      </c>
      <c r="M11" s="81">
        <f>SUM(K11+L11)</f>
        <v>60</v>
      </c>
      <c r="N11" s="266">
        <f>ROUND(AVERAGE(5-4*(M11)/(M9)),1)</f>
        <v>2.6</v>
      </c>
      <c r="O11" s="108">
        <f>N12*0.15</f>
        <v>0.34499999999999997</v>
      </c>
      <c r="P11" s="248" t="e">
        <f>ROUND(5-4*#REF!/10,1)</f>
        <v>#REF!</v>
      </c>
      <c r="Q11" s="249"/>
      <c r="R11" s="86">
        <v>32</v>
      </c>
      <c r="S11" s="86">
        <v>33</v>
      </c>
      <c r="T11" s="93">
        <f>SUM(R11+S11)</f>
        <v>65</v>
      </c>
      <c r="U11" s="106">
        <f>ROUND(AVERAGE(5-4*(T11)/(T9)),1)</f>
        <v>2.4</v>
      </c>
      <c r="V11" s="108">
        <f>U11*0.15</f>
        <v>0.36</v>
      </c>
      <c r="W11" s="83">
        <v>88</v>
      </c>
      <c r="X11" s="95">
        <v>92</v>
      </c>
      <c r="Y11" s="96">
        <f>SUM(W11+X11)</f>
        <v>180</v>
      </c>
      <c r="Z11" s="106">
        <f>ROUND(AVERAGE(5-4*(Y11)/(Y9)),1)</f>
        <v>1.4</v>
      </c>
      <c r="AA11" s="108">
        <f>Z11*0.15</f>
        <v>0.21</v>
      </c>
      <c r="AB11" s="98">
        <v>27</v>
      </c>
      <c r="AC11" s="106">
        <f>5-(4*AB11/27)</f>
        <v>1</v>
      </c>
      <c r="AD11" s="108">
        <f>AC11*0.1</f>
        <v>0.1</v>
      </c>
      <c r="AE11" s="83">
        <v>54</v>
      </c>
      <c r="AF11" s="107">
        <f>ROUND(AVERAGE(5-4*(AE11)/(70)),1)</f>
        <v>1.9</v>
      </c>
      <c r="AG11" s="108">
        <f>AF11*0.3</f>
        <v>0.56999999999999995</v>
      </c>
      <c r="AH11" s="96">
        <v>19</v>
      </c>
      <c r="AI11" s="96">
        <v>12</v>
      </c>
      <c r="AJ11" s="96">
        <f>SUM(AH11+AI11)</f>
        <v>31</v>
      </c>
      <c r="AK11" s="106">
        <f>ROUND(AVERAGE(5-4*(AJ11)/(AJ9)),1)</f>
        <v>3.8</v>
      </c>
      <c r="AL11" s="108">
        <f>AK11*0.15</f>
        <v>0.56999999999999995</v>
      </c>
      <c r="AM11" s="96">
        <v>43</v>
      </c>
      <c r="AN11" s="96">
        <v>42</v>
      </c>
      <c r="AO11" s="96">
        <f>SUM(AN11+AM11)</f>
        <v>85</v>
      </c>
      <c r="AP11" s="106">
        <f>ROUND(AVERAGE(5-4*(AO11)/(AO9)),1)</f>
        <v>1.6</v>
      </c>
      <c r="AQ11" s="158">
        <f>AP11*0.15</f>
        <v>0.24</v>
      </c>
      <c r="AR11" s="93">
        <v>32</v>
      </c>
      <c r="AS11" s="96">
        <v>34</v>
      </c>
      <c r="AT11" s="96">
        <f>SUM(AR11+AS11)</f>
        <v>66</v>
      </c>
      <c r="AU11" s="148">
        <f>ROUND(AVERAGE(5-4*(AT11)/(AT9)),1)</f>
        <v>2.4</v>
      </c>
      <c r="AV11" s="149">
        <f>AU11*0.15</f>
        <v>0.36</v>
      </c>
      <c r="AW11" s="93">
        <v>100</v>
      </c>
      <c r="AX11" s="93">
        <v>100</v>
      </c>
      <c r="AY11" s="93">
        <v>90</v>
      </c>
      <c r="AZ11" s="93">
        <f>SUM(AX11+AW11+AY11)</f>
        <v>290</v>
      </c>
      <c r="BA11" s="148">
        <f>ROUND(AVERAGE(5-4*(AZ11)/(AZ9)),1)</f>
        <v>1.1000000000000001</v>
      </c>
      <c r="BB11" s="149">
        <f>BA11*0.15</f>
        <v>0.16500000000000001</v>
      </c>
      <c r="BC11" s="165">
        <v>27</v>
      </c>
      <c r="BD11" s="148">
        <f>5-(4*BC11/BC9)</f>
        <v>1</v>
      </c>
      <c r="BE11" s="149">
        <f>BD11*0.1</f>
        <v>0.1</v>
      </c>
      <c r="BF11" s="81">
        <v>44</v>
      </c>
      <c r="BG11" s="157">
        <f>ROUND(AVERAGE(5-4*(BF11)/(BF9)),1)</f>
        <v>2.5</v>
      </c>
      <c r="BH11" s="151">
        <f>BG11*0.3</f>
        <v>0.75</v>
      </c>
      <c r="BI11" s="165">
        <f>H11+O10+V11+AA11+AD11+AG11</f>
        <v>1.585</v>
      </c>
      <c r="BJ11" s="165">
        <f>AL11+AQ11+AV11+BB11+BE11+BH11</f>
        <v>2.1850000000000001</v>
      </c>
      <c r="BK11" s="165">
        <f>(BI11*1/2)+(BJ11*1/2)</f>
        <v>1.885</v>
      </c>
      <c r="BL11" s="81" t="s">
        <v>91</v>
      </c>
    </row>
    <row r="12" spans="1:64" ht="13.2" customHeight="1" x14ac:dyDescent="0.3">
      <c r="A12" s="272">
        <v>2</v>
      </c>
      <c r="B12" s="273" t="s">
        <v>214</v>
      </c>
      <c r="C12" s="237" t="s">
        <v>215</v>
      </c>
      <c r="D12" s="86">
        <v>43</v>
      </c>
      <c r="E12" s="83">
        <v>30</v>
      </c>
      <c r="F12" s="93">
        <f t="shared" ref="F12:F56" si="0">SUM(D12+E12)</f>
        <v>73</v>
      </c>
      <c r="G12" s="266">
        <f>ROUND(AVERAGE(5-4*(F12)/(F9)),1)</f>
        <v>2.1</v>
      </c>
      <c r="H12" s="245">
        <f t="shared" ref="H12:H23" si="1">G12*0.15</f>
        <v>0.315</v>
      </c>
      <c r="I12" s="246">
        <v>30</v>
      </c>
      <c r="J12" s="247">
        <f t="shared" ref="J12:J24" si="2">ROUND(5-4*I12/30,1)</f>
        <v>1</v>
      </c>
      <c r="K12" s="78">
        <v>37</v>
      </c>
      <c r="L12" s="78">
        <v>31</v>
      </c>
      <c r="M12" s="81">
        <f t="shared" ref="M12:M58" si="3">SUM(K12+L12)</f>
        <v>68</v>
      </c>
      <c r="N12" s="266">
        <f>ROUND(AVERAGE(5-4*(M12)/(M9)),1)</f>
        <v>2.2999999999999998</v>
      </c>
      <c r="O12" s="108">
        <f>N13*0.15</f>
        <v>0.27</v>
      </c>
      <c r="P12" s="248" t="e">
        <f>ROUND(5-4*#REF!/10,1)</f>
        <v>#REF!</v>
      </c>
      <c r="Q12" s="249"/>
      <c r="R12" s="86">
        <v>45</v>
      </c>
      <c r="S12" s="86">
        <v>35</v>
      </c>
      <c r="T12" s="93">
        <f t="shared" ref="T12:T58" si="4">SUM(R12+S12)</f>
        <v>80</v>
      </c>
      <c r="U12" s="106">
        <f>ROUND(AVERAGE(5-4*(T12)/(T9)),1)</f>
        <v>1.8</v>
      </c>
      <c r="V12" s="108">
        <f t="shared" ref="V12:V58" si="5">U12*0.15</f>
        <v>0.27</v>
      </c>
      <c r="W12" s="83">
        <v>83</v>
      </c>
      <c r="X12" s="95">
        <v>80</v>
      </c>
      <c r="Y12" s="96">
        <f t="shared" ref="Y12:Y58" si="6">SUM(W12+X12)</f>
        <v>163</v>
      </c>
      <c r="Z12" s="106">
        <f>ROUND(AVERAGE(5-4*(Y12)/(Y9)),1)</f>
        <v>1.7</v>
      </c>
      <c r="AA12" s="108">
        <f t="shared" ref="AA12:AA58" si="7">Z12*0.15</f>
        <v>0.255</v>
      </c>
      <c r="AB12" s="98">
        <v>27</v>
      </c>
      <c r="AC12" s="106">
        <f t="shared" ref="AC12:AC58" si="8">5-(4*AB12/27)</f>
        <v>1</v>
      </c>
      <c r="AD12" s="108">
        <f t="shared" ref="AD12:AD58" si="9">AC12*0.1</f>
        <v>0.1</v>
      </c>
      <c r="AE12" s="83">
        <v>17</v>
      </c>
      <c r="AF12" s="107">
        <f t="shared" ref="AF12:AF58" si="10">ROUND(AVERAGE(5-4*(AE12)/(70)),1)</f>
        <v>4</v>
      </c>
      <c r="AG12" s="108">
        <f t="shared" ref="AG12:AG58" si="11">AF12*0.3</f>
        <v>1.2</v>
      </c>
      <c r="AH12" s="96">
        <v>22</v>
      </c>
      <c r="AI12" s="93">
        <v>20</v>
      </c>
      <c r="AJ12" s="96">
        <f t="shared" ref="AJ12:AJ58" si="12">SUM(AH12+AI12)</f>
        <v>42</v>
      </c>
      <c r="AK12" s="106">
        <f>ROUND(AVERAGE(5-4*(AJ12)/(AJ9)),1)</f>
        <v>3.3</v>
      </c>
      <c r="AL12" s="108">
        <f t="shared" ref="AL12:AL58" si="13">AK12*0.15</f>
        <v>0.49499999999999994</v>
      </c>
      <c r="AM12" s="93">
        <v>40</v>
      </c>
      <c r="AN12" s="153">
        <v>37</v>
      </c>
      <c r="AO12" s="96">
        <f t="shared" ref="AO12:AO58" si="14">SUM(AN12+AM12)</f>
        <v>77</v>
      </c>
      <c r="AP12" s="106">
        <f>ROUND(AVERAGE(5-4*(AO12)/(AO9)),1)</f>
        <v>1.9</v>
      </c>
      <c r="AQ12" s="158">
        <f t="shared" ref="AQ12:AQ58" si="15">AP12*0.15</f>
        <v>0.28499999999999998</v>
      </c>
      <c r="AR12" s="93">
        <v>42</v>
      </c>
      <c r="AS12" s="93">
        <v>35</v>
      </c>
      <c r="AT12" s="96">
        <f t="shared" ref="AT12:AT54" si="16">SUM(AR12+AS12)</f>
        <v>77</v>
      </c>
      <c r="AU12" s="148">
        <f>ROUND(AVERAGE(5-4*(AT12)/(AT9)),1)</f>
        <v>1.9</v>
      </c>
      <c r="AV12" s="149">
        <f t="shared" ref="AV12:AV58" si="17">AU12*0.15</f>
        <v>0.28499999999999998</v>
      </c>
      <c r="AW12" s="93">
        <v>90</v>
      </c>
      <c r="AX12" s="93">
        <v>90</v>
      </c>
      <c r="AY12" s="93">
        <v>100</v>
      </c>
      <c r="AZ12" s="93">
        <f t="shared" ref="AZ12:AZ58" si="18">SUM(AX12+AW12+AY12)</f>
        <v>280</v>
      </c>
      <c r="BA12" s="148">
        <f>ROUND(AVERAGE(5-4*(AZ12)/(AZ9)),1)</f>
        <v>1.3</v>
      </c>
      <c r="BB12" s="149">
        <f t="shared" ref="BB12:BB58" si="19">BA12*0.15</f>
        <v>0.19500000000000001</v>
      </c>
      <c r="BC12" s="165">
        <v>27</v>
      </c>
      <c r="BD12" s="148">
        <f>5-(4*BC12/BC9)</f>
        <v>1</v>
      </c>
      <c r="BE12" s="149">
        <f t="shared" ref="BE12:BE58" si="20">BD12*0.1</f>
        <v>0.1</v>
      </c>
      <c r="BF12" s="81">
        <v>42</v>
      </c>
      <c r="BG12" s="157">
        <f>ROUND(AVERAGE(5-4*(BF12)/(BF9)),1)</f>
        <v>2.6</v>
      </c>
      <c r="BH12" s="151">
        <f t="shared" ref="BH12:BH58" si="21">BG12*0.3</f>
        <v>0.78</v>
      </c>
      <c r="BI12" s="165">
        <f>H12+O11+V12+AA12+AD12+AG12</f>
        <v>2.4850000000000003</v>
      </c>
      <c r="BJ12" s="165">
        <f t="shared" ref="BJ12:BJ49" si="22">AL12+AQ12+AV12+BB12+BE12+BH12</f>
        <v>2.14</v>
      </c>
      <c r="BK12" s="165">
        <f t="shared" ref="BK12:BK56" si="23">(BI12*1/2)+(BJ12*1/2)</f>
        <v>2.3125</v>
      </c>
      <c r="BL12" s="81" t="s">
        <v>91</v>
      </c>
    </row>
    <row r="13" spans="1:64" ht="13.2" customHeight="1" x14ac:dyDescent="0.3">
      <c r="A13" s="272">
        <v>3</v>
      </c>
      <c r="B13" s="273" t="s">
        <v>216</v>
      </c>
      <c r="C13" s="237" t="s">
        <v>217</v>
      </c>
      <c r="D13" s="86">
        <v>31</v>
      </c>
      <c r="E13" s="83">
        <v>24</v>
      </c>
      <c r="F13" s="93">
        <f t="shared" si="0"/>
        <v>55</v>
      </c>
      <c r="G13" s="266">
        <f>ROUND(AVERAGE(5-4*(F13)/(F9)),1)</f>
        <v>2.8</v>
      </c>
      <c r="H13" s="245">
        <f t="shared" si="1"/>
        <v>0.42</v>
      </c>
      <c r="I13" s="246">
        <v>26</v>
      </c>
      <c r="J13" s="247">
        <f t="shared" si="2"/>
        <v>1.5</v>
      </c>
      <c r="K13" s="78">
        <v>45</v>
      </c>
      <c r="L13" s="78">
        <v>35</v>
      </c>
      <c r="M13" s="81">
        <f t="shared" si="3"/>
        <v>80</v>
      </c>
      <c r="N13" s="266">
        <f>ROUND(AVERAGE(5-4*(M13)/(M9)),1)</f>
        <v>1.8</v>
      </c>
      <c r="O13" s="108">
        <f t="shared" ref="O13:O58" si="24">N13*0.15</f>
        <v>0.27</v>
      </c>
      <c r="P13" s="250"/>
      <c r="Q13" s="250"/>
      <c r="R13" s="86">
        <v>50</v>
      </c>
      <c r="S13" s="86">
        <v>38</v>
      </c>
      <c r="T13" s="93">
        <f t="shared" si="4"/>
        <v>88</v>
      </c>
      <c r="U13" s="106">
        <f>ROUND(AVERAGE(5-4*(T13)/(T9)),1)</f>
        <v>1.5</v>
      </c>
      <c r="V13" s="108">
        <f t="shared" si="5"/>
        <v>0.22499999999999998</v>
      </c>
      <c r="W13" s="83">
        <v>75</v>
      </c>
      <c r="X13" s="95">
        <v>80</v>
      </c>
      <c r="Y13" s="96">
        <f t="shared" si="6"/>
        <v>155</v>
      </c>
      <c r="Z13" s="106">
        <f>ROUND(AVERAGE(5-4*(Y13)/(Y9)),1)</f>
        <v>1.9</v>
      </c>
      <c r="AA13" s="108">
        <f t="shared" si="7"/>
        <v>0.28499999999999998</v>
      </c>
      <c r="AB13" s="98">
        <v>27</v>
      </c>
      <c r="AC13" s="106">
        <f t="shared" si="8"/>
        <v>1</v>
      </c>
      <c r="AD13" s="108">
        <f t="shared" si="9"/>
        <v>0.1</v>
      </c>
      <c r="AE13" s="83">
        <v>34</v>
      </c>
      <c r="AF13" s="107">
        <f t="shared" si="10"/>
        <v>3.1</v>
      </c>
      <c r="AG13" s="108">
        <f t="shared" si="11"/>
        <v>0.92999999999999994</v>
      </c>
      <c r="AH13" s="96">
        <v>9</v>
      </c>
      <c r="AI13" s="93">
        <v>15</v>
      </c>
      <c r="AJ13" s="96">
        <f t="shared" si="12"/>
        <v>24</v>
      </c>
      <c r="AK13" s="106">
        <f>ROUND(AVERAGE(5-4*(AJ13)/(AJ9)),1)</f>
        <v>4</v>
      </c>
      <c r="AL13" s="108">
        <f t="shared" si="13"/>
        <v>0.6</v>
      </c>
      <c r="AM13" s="93">
        <v>40</v>
      </c>
      <c r="AN13" s="93">
        <v>45</v>
      </c>
      <c r="AO13" s="96">
        <f t="shared" si="14"/>
        <v>85</v>
      </c>
      <c r="AP13" s="106">
        <f>ROUND(AVERAGE(5-4*(AO13)/(AO9)),1)</f>
        <v>1.6</v>
      </c>
      <c r="AQ13" s="158">
        <f t="shared" si="15"/>
        <v>0.24</v>
      </c>
      <c r="AR13" s="93">
        <v>42</v>
      </c>
      <c r="AS13" s="93">
        <v>40</v>
      </c>
      <c r="AT13" s="96">
        <f t="shared" si="16"/>
        <v>82</v>
      </c>
      <c r="AU13" s="148">
        <f>ROUND(AVERAGE(5-4*(AT13)/(AT9)),1)</f>
        <v>1.7</v>
      </c>
      <c r="AV13" s="149">
        <f t="shared" si="17"/>
        <v>0.255</v>
      </c>
      <c r="AW13" s="93">
        <v>85</v>
      </c>
      <c r="AX13" s="93">
        <v>85</v>
      </c>
      <c r="AY13" s="93">
        <v>95</v>
      </c>
      <c r="AZ13" s="93">
        <f t="shared" si="18"/>
        <v>265</v>
      </c>
      <c r="BA13" s="148">
        <f>ROUND(AVERAGE(5-4*(AZ13)/(AZ9)),1)</f>
        <v>1.5</v>
      </c>
      <c r="BB13" s="149">
        <f t="shared" si="19"/>
        <v>0.22499999999999998</v>
      </c>
      <c r="BC13" s="165">
        <v>27</v>
      </c>
      <c r="BD13" s="148">
        <f t="shared" ref="BD13" si="25">5-(4*BC13/BC11)</f>
        <v>1</v>
      </c>
      <c r="BE13" s="149">
        <f t="shared" si="20"/>
        <v>0.1</v>
      </c>
      <c r="BF13" s="81">
        <v>16</v>
      </c>
      <c r="BG13" s="157">
        <f>ROUND(AVERAGE(5-4*(BF13)/(BF9)),1)</f>
        <v>4.0999999999999996</v>
      </c>
      <c r="BH13" s="151">
        <f t="shared" si="21"/>
        <v>1.2299999999999998</v>
      </c>
      <c r="BI13" s="165">
        <f t="shared" ref="BI13:BI56" si="26">H13+O13+V13+AA13+AD13+AG13</f>
        <v>2.23</v>
      </c>
      <c r="BJ13" s="165">
        <f t="shared" si="22"/>
        <v>2.6499999999999995</v>
      </c>
      <c r="BK13" s="165">
        <f t="shared" si="23"/>
        <v>2.4399999999999995</v>
      </c>
      <c r="BL13" s="81" t="s">
        <v>91</v>
      </c>
    </row>
    <row r="14" spans="1:64" ht="14.25" customHeight="1" x14ac:dyDescent="0.3">
      <c r="A14" s="272">
        <v>4</v>
      </c>
      <c r="B14" s="273" t="s">
        <v>218</v>
      </c>
      <c r="C14" s="237" t="s">
        <v>219</v>
      </c>
      <c r="D14" s="86">
        <v>37</v>
      </c>
      <c r="E14" s="86">
        <v>28</v>
      </c>
      <c r="F14" s="93">
        <f t="shared" si="0"/>
        <v>65</v>
      </c>
      <c r="G14" s="266">
        <f>ROUND(AVERAGE(5-4*(F14)/(F9)),1)</f>
        <v>2.4</v>
      </c>
      <c r="H14" s="245">
        <f t="shared" si="1"/>
        <v>0.36</v>
      </c>
      <c r="I14" s="246">
        <v>25</v>
      </c>
      <c r="J14" s="247">
        <f t="shared" si="2"/>
        <v>1.7</v>
      </c>
      <c r="K14" s="78">
        <v>38</v>
      </c>
      <c r="L14" s="78">
        <v>34</v>
      </c>
      <c r="M14" s="81">
        <f t="shared" si="3"/>
        <v>72</v>
      </c>
      <c r="N14" s="266">
        <f>ROUND(AVERAGE(5-4*(M14)/(M9)),1)</f>
        <v>2.1</v>
      </c>
      <c r="O14" s="108">
        <f t="shared" si="24"/>
        <v>0.315</v>
      </c>
      <c r="P14" s="248" t="e">
        <f>ROUND(5-4*#REF!/10,1)</f>
        <v>#REF!</v>
      </c>
      <c r="Q14" s="249"/>
      <c r="R14" s="86">
        <v>41</v>
      </c>
      <c r="S14" s="86">
        <v>29</v>
      </c>
      <c r="T14" s="93">
        <f t="shared" si="4"/>
        <v>70</v>
      </c>
      <c r="U14" s="106">
        <f>ROUND(AVERAGE(5-4*(T14)/(T9)),1)</f>
        <v>2.2000000000000002</v>
      </c>
      <c r="V14" s="108">
        <f t="shared" si="5"/>
        <v>0.33</v>
      </c>
      <c r="W14" s="86">
        <v>82</v>
      </c>
      <c r="X14" s="95">
        <v>85</v>
      </c>
      <c r="Y14" s="96">
        <f t="shared" si="6"/>
        <v>167</v>
      </c>
      <c r="Z14" s="106">
        <f>ROUND(AVERAGE(5-4*(Y14)/(Y9)),1)</f>
        <v>1.7</v>
      </c>
      <c r="AA14" s="108">
        <f t="shared" si="7"/>
        <v>0.255</v>
      </c>
      <c r="AB14" s="98">
        <v>27</v>
      </c>
      <c r="AC14" s="106">
        <f t="shared" si="8"/>
        <v>1</v>
      </c>
      <c r="AD14" s="108">
        <f t="shared" si="9"/>
        <v>0.1</v>
      </c>
      <c r="AE14" s="75">
        <v>27</v>
      </c>
      <c r="AF14" s="107">
        <f t="shared" si="10"/>
        <v>3.5</v>
      </c>
      <c r="AG14" s="108">
        <f t="shared" si="11"/>
        <v>1.05</v>
      </c>
      <c r="AH14" s="96">
        <v>13</v>
      </c>
      <c r="AI14" s="93">
        <v>22</v>
      </c>
      <c r="AJ14" s="96">
        <f t="shared" si="12"/>
        <v>35</v>
      </c>
      <c r="AK14" s="106">
        <f>ROUND(AVERAGE(5-4*(AJ14)/(AJ9)),1)</f>
        <v>3.6</v>
      </c>
      <c r="AL14" s="108">
        <f t="shared" si="13"/>
        <v>0.54</v>
      </c>
      <c r="AM14" s="93">
        <v>30</v>
      </c>
      <c r="AN14" s="93">
        <v>35</v>
      </c>
      <c r="AO14" s="96">
        <f t="shared" si="14"/>
        <v>65</v>
      </c>
      <c r="AP14" s="106">
        <f>ROUND(AVERAGE(5-4*(AO14)/(AO9)),1)</f>
        <v>2.4</v>
      </c>
      <c r="AQ14" s="158">
        <f t="shared" si="15"/>
        <v>0.36</v>
      </c>
      <c r="AR14" s="93">
        <v>30</v>
      </c>
      <c r="AS14" s="93">
        <v>30</v>
      </c>
      <c r="AT14" s="96">
        <f t="shared" si="16"/>
        <v>60</v>
      </c>
      <c r="AU14" s="148">
        <f>ROUND(AVERAGE(5-4*(AT14)/(AT9)),1)</f>
        <v>2.6</v>
      </c>
      <c r="AV14" s="149">
        <f t="shared" si="17"/>
        <v>0.39</v>
      </c>
      <c r="AW14" s="93">
        <v>80</v>
      </c>
      <c r="AX14" s="93">
        <v>80</v>
      </c>
      <c r="AY14" s="93">
        <v>90</v>
      </c>
      <c r="AZ14" s="93">
        <f t="shared" si="18"/>
        <v>250</v>
      </c>
      <c r="BA14" s="148">
        <f>ROUND(AVERAGE(5-4*(AZ14)/(AZ9)),1)</f>
        <v>1.7</v>
      </c>
      <c r="BB14" s="149">
        <f t="shared" si="19"/>
        <v>0.255</v>
      </c>
      <c r="BC14" s="165">
        <v>27</v>
      </c>
      <c r="BD14" s="148">
        <f>5-(4*BC14/BC9)</f>
        <v>1</v>
      </c>
      <c r="BE14" s="149">
        <f t="shared" si="20"/>
        <v>0.1</v>
      </c>
      <c r="BF14" s="81">
        <v>36</v>
      </c>
      <c r="BG14" s="157">
        <f>ROUND(AVERAGE(5-4*(BF14)/(BF9)),1)</f>
        <v>2.9</v>
      </c>
      <c r="BH14" s="151">
        <f t="shared" si="21"/>
        <v>0.87</v>
      </c>
      <c r="BI14" s="165">
        <f t="shared" si="26"/>
        <v>2.41</v>
      </c>
      <c r="BJ14" s="165">
        <f t="shared" si="22"/>
        <v>2.5150000000000001</v>
      </c>
      <c r="BK14" s="165">
        <f>(BI14*1/2)+(BJ14*1/2)</f>
        <v>2.4625000000000004</v>
      </c>
      <c r="BL14" s="81" t="s">
        <v>91</v>
      </c>
    </row>
    <row r="15" spans="1:64" ht="12.6" customHeight="1" x14ac:dyDescent="0.3">
      <c r="A15" s="272">
        <v>5</v>
      </c>
      <c r="B15" s="273" t="s">
        <v>220</v>
      </c>
      <c r="C15" s="237" t="s">
        <v>221</v>
      </c>
      <c r="D15" s="86">
        <v>36</v>
      </c>
      <c r="E15" s="83">
        <v>34</v>
      </c>
      <c r="F15" s="93">
        <f t="shared" si="0"/>
        <v>70</v>
      </c>
      <c r="G15" s="266">
        <f>ROUND(AVERAGE(5-4*(F15)/(F9)),1)</f>
        <v>2.2000000000000002</v>
      </c>
      <c r="H15" s="245">
        <f t="shared" si="1"/>
        <v>0.33</v>
      </c>
      <c r="I15" s="246">
        <v>26</v>
      </c>
      <c r="J15" s="247">
        <f t="shared" si="2"/>
        <v>1.5</v>
      </c>
      <c r="K15" s="78">
        <v>38</v>
      </c>
      <c r="L15" s="78">
        <v>35</v>
      </c>
      <c r="M15" s="81">
        <f t="shared" si="3"/>
        <v>73</v>
      </c>
      <c r="N15" s="266">
        <f>ROUND(AVERAGE(5-4*(M15)/(M9)),1)</f>
        <v>2.1</v>
      </c>
      <c r="O15" s="108">
        <f t="shared" si="24"/>
        <v>0.315</v>
      </c>
      <c r="P15" s="248" t="e">
        <f>ROUND(5-4*#REF!/10,1)</f>
        <v>#REF!</v>
      </c>
      <c r="Q15" s="249"/>
      <c r="R15" s="86">
        <v>42</v>
      </c>
      <c r="S15" s="86">
        <v>31</v>
      </c>
      <c r="T15" s="93">
        <f t="shared" si="4"/>
        <v>73</v>
      </c>
      <c r="U15" s="106">
        <f>ROUND(AVERAGE(5-4*(T15)/(T9)),1)</f>
        <v>2.1</v>
      </c>
      <c r="V15" s="108">
        <f t="shared" si="5"/>
        <v>0.315</v>
      </c>
      <c r="W15" s="83">
        <v>100</v>
      </c>
      <c r="X15" s="95">
        <v>90</v>
      </c>
      <c r="Y15" s="96">
        <f t="shared" si="6"/>
        <v>190</v>
      </c>
      <c r="Z15" s="106">
        <f>ROUND(AVERAGE(5-4*(Y15)/(Y9)),1)</f>
        <v>1.2</v>
      </c>
      <c r="AA15" s="108">
        <f t="shared" si="7"/>
        <v>0.18</v>
      </c>
      <c r="AB15" s="98">
        <v>27</v>
      </c>
      <c r="AC15" s="106">
        <f t="shared" si="8"/>
        <v>1</v>
      </c>
      <c r="AD15" s="108">
        <f t="shared" si="9"/>
        <v>0.1</v>
      </c>
      <c r="AE15" s="83">
        <v>38</v>
      </c>
      <c r="AF15" s="107">
        <f t="shared" si="10"/>
        <v>2.8</v>
      </c>
      <c r="AG15" s="108">
        <f t="shared" si="11"/>
        <v>0.84</v>
      </c>
      <c r="AH15" s="96">
        <v>14</v>
      </c>
      <c r="AI15" s="93">
        <v>28</v>
      </c>
      <c r="AJ15" s="96">
        <f t="shared" si="12"/>
        <v>42</v>
      </c>
      <c r="AK15" s="106">
        <f>ROUND(AVERAGE(5-4*(AJ15)/(AJ9)),1)</f>
        <v>3.3</v>
      </c>
      <c r="AL15" s="108">
        <f t="shared" si="13"/>
        <v>0.49499999999999994</v>
      </c>
      <c r="AM15" s="93">
        <v>30</v>
      </c>
      <c r="AN15" s="93">
        <v>32</v>
      </c>
      <c r="AO15" s="96">
        <f t="shared" si="14"/>
        <v>62</v>
      </c>
      <c r="AP15" s="106">
        <f>ROUND(AVERAGE(5-4*(AO15)/(AO9)),1)</f>
        <v>2.5</v>
      </c>
      <c r="AQ15" s="158">
        <f t="shared" si="15"/>
        <v>0.375</v>
      </c>
      <c r="AR15" s="93">
        <v>35</v>
      </c>
      <c r="AS15" s="93">
        <v>34</v>
      </c>
      <c r="AT15" s="96">
        <f t="shared" si="16"/>
        <v>69</v>
      </c>
      <c r="AU15" s="148">
        <f>ROUND(AVERAGE(5-4*(AT15)/(AT9)),1)</f>
        <v>2.2000000000000002</v>
      </c>
      <c r="AV15" s="149">
        <f t="shared" si="17"/>
        <v>0.33</v>
      </c>
      <c r="AW15" s="93">
        <v>88</v>
      </c>
      <c r="AX15" s="93">
        <v>87</v>
      </c>
      <c r="AY15" s="93">
        <v>89</v>
      </c>
      <c r="AZ15" s="93">
        <f t="shared" si="18"/>
        <v>264</v>
      </c>
      <c r="BA15" s="148">
        <f>ROUND(AVERAGE(5-4*(AZ15)/(AZ9)),1)</f>
        <v>1.5</v>
      </c>
      <c r="BB15" s="149">
        <f t="shared" si="19"/>
        <v>0.22499999999999998</v>
      </c>
      <c r="BC15" s="165">
        <v>27</v>
      </c>
      <c r="BD15" s="148">
        <f>5-(4*BC15/BC9)</f>
        <v>1</v>
      </c>
      <c r="BE15" s="149">
        <f t="shared" si="20"/>
        <v>0.1</v>
      </c>
      <c r="BF15" s="81">
        <v>32</v>
      </c>
      <c r="BG15" s="157">
        <f>ROUND(AVERAGE(5-4*(BF15)/(BF9)),1)</f>
        <v>3.2</v>
      </c>
      <c r="BH15" s="151">
        <f t="shared" si="21"/>
        <v>0.96</v>
      </c>
      <c r="BI15" s="165">
        <f t="shared" si="26"/>
        <v>2.08</v>
      </c>
      <c r="BJ15" s="165">
        <f t="shared" si="22"/>
        <v>2.4849999999999999</v>
      </c>
      <c r="BK15" s="165">
        <f t="shared" si="23"/>
        <v>2.2824999999999998</v>
      </c>
      <c r="BL15" s="81" t="s">
        <v>91</v>
      </c>
    </row>
    <row r="16" spans="1:64" ht="15" customHeight="1" x14ac:dyDescent="0.3">
      <c r="A16" s="272">
        <v>6</v>
      </c>
      <c r="B16" s="273" t="s">
        <v>222</v>
      </c>
      <c r="C16" s="237" t="s">
        <v>223</v>
      </c>
      <c r="D16" s="86">
        <v>37</v>
      </c>
      <c r="E16" s="83">
        <v>26</v>
      </c>
      <c r="F16" s="93">
        <f t="shared" si="0"/>
        <v>63</v>
      </c>
      <c r="G16" s="266">
        <f>ROUND(AVERAGE(5-4*(F16)/(F9)),1)</f>
        <v>2.5</v>
      </c>
      <c r="H16" s="245">
        <f t="shared" si="1"/>
        <v>0.375</v>
      </c>
      <c r="I16" s="246">
        <v>0</v>
      </c>
      <c r="J16" s="247">
        <f t="shared" si="2"/>
        <v>5</v>
      </c>
      <c r="K16" s="78">
        <v>38</v>
      </c>
      <c r="L16" s="78">
        <v>34</v>
      </c>
      <c r="M16" s="81">
        <f t="shared" si="3"/>
        <v>72</v>
      </c>
      <c r="N16" s="266">
        <f>ROUND(AVERAGE(5-4*(M16)/(M9)),1)</f>
        <v>2.1</v>
      </c>
      <c r="O16" s="108">
        <f t="shared" si="24"/>
        <v>0.315</v>
      </c>
      <c r="P16" s="248" t="e">
        <f>ROUND(5-4*#REF!/10,1)</f>
        <v>#REF!</v>
      </c>
      <c r="Q16" s="249"/>
      <c r="R16" s="86">
        <v>39</v>
      </c>
      <c r="S16" s="86">
        <v>33</v>
      </c>
      <c r="T16" s="93">
        <f t="shared" si="4"/>
        <v>72</v>
      </c>
      <c r="U16" s="106">
        <f>ROUND(AVERAGE(5-4*(T16)/(T9)),1)</f>
        <v>2.1</v>
      </c>
      <c r="V16" s="108">
        <f t="shared" si="5"/>
        <v>0.315</v>
      </c>
      <c r="W16" s="83">
        <v>95</v>
      </c>
      <c r="X16" s="83">
        <v>80</v>
      </c>
      <c r="Y16" s="96">
        <f t="shared" si="6"/>
        <v>175</v>
      </c>
      <c r="Z16" s="106">
        <f>ROUND(AVERAGE(5-4*(Y16)/(Y9)),1)</f>
        <v>1.5</v>
      </c>
      <c r="AA16" s="108">
        <f t="shared" si="7"/>
        <v>0.22499999999999998</v>
      </c>
      <c r="AB16" s="98">
        <v>27</v>
      </c>
      <c r="AC16" s="106">
        <f t="shared" si="8"/>
        <v>1</v>
      </c>
      <c r="AD16" s="108">
        <f t="shared" si="9"/>
        <v>0.1</v>
      </c>
      <c r="AE16" s="83">
        <v>15</v>
      </c>
      <c r="AF16" s="107">
        <f t="shared" si="10"/>
        <v>4.0999999999999996</v>
      </c>
      <c r="AG16" s="108">
        <f t="shared" si="11"/>
        <v>1.2299999999999998</v>
      </c>
      <c r="AH16" s="96">
        <v>17</v>
      </c>
      <c r="AI16" s="93">
        <v>22</v>
      </c>
      <c r="AJ16" s="96">
        <f t="shared" si="12"/>
        <v>39</v>
      </c>
      <c r="AK16" s="106">
        <f>ROUND(AVERAGE(5-4*(AJ16)/(AJ9)),1)</f>
        <v>3.4</v>
      </c>
      <c r="AL16" s="108">
        <f t="shared" si="13"/>
        <v>0.51</v>
      </c>
      <c r="AM16" s="93">
        <v>30</v>
      </c>
      <c r="AN16" s="93">
        <v>30</v>
      </c>
      <c r="AO16" s="96">
        <f t="shared" si="14"/>
        <v>60</v>
      </c>
      <c r="AP16" s="106">
        <f>ROUND(AVERAGE(5-4*(AO16)/(AO9)),1)</f>
        <v>2.6</v>
      </c>
      <c r="AQ16" s="158">
        <f t="shared" si="15"/>
        <v>0.39</v>
      </c>
      <c r="AR16" s="93">
        <v>30</v>
      </c>
      <c r="AS16" s="93">
        <v>32</v>
      </c>
      <c r="AT16" s="96">
        <f t="shared" si="16"/>
        <v>62</v>
      </c>
      <c r="AU16" s="148">
        <f>ROUND(AVERAGE(5-4*(AT16)/(AT9)),1)</f>
        <v>2.5</v>
      </c>
      <c r="AV16" s="149">
        <f t="shared" si="17"/>
        <v>0.375</v>
      </c>
      <c r="AW16" s="93">
        <v>80</v>
      </c>
      <c r="AX16" s="93">
        <v>82</v>
      </c>
      <c r="AY16" s="93">
        <v>85</v>
      </c>
      <c r="AZ16" s="93">
        <f t="shared" si="18"/>
        <v>247</v>
      </c>
      <c r="BA16" s="148">
        <f>ROUND(AVERAGE(5-4*(AZ16)/(AZ9)),1)</f>
        <v>1.7</v>
      </c>
      <c r="BB16" s="149">
        <f t="shared" si="19"/>
        <v>0.255</v>
      </c>
      <c r="BC16" s="165">
        <v>27</v>
      </c>
      <c r="BD16" s="148">
        <f>5-(4*BC16/BC9)</f>
        <v>1</v>
      </c>
      <c r="BE16" s="149">
        <f t="shared" si="20"/>
        <v>0.1</v>
      </c>
      <c r="BF16" s="81">
        <v>18</v>
      </c>
      <c r="BG16" s="157">
        <f>ROUND(AVERAGE(5-4*(BF16)/(BF9)),1)</f>
        <v>4</v>
      </c>
      <c r="BH16" s="149">
        <f t="shared" si="21"/>
        <v>1.2</v>
      </c>
      <c r="BI16" s="165">
        <f t="shared" si="26"/>
        <v>2.5599999999999996</v>
      </c>
      <c r="BJ16" s="165">
        <f t="shared" si="22"/>
        <v>2.83</v>
      </c>
      <c r="BK16" s="165">
        <f t="shared" si="23"/>
        <v>2.6949999999999998</v>
      </c>
      <c r="BL16" s="81" t="s">
        <v>91</v>
      </c>
    </row>
    <row r="17" spans="1:64" s="46" customFormat="1" ht="14.25" customHeight="1" x14ac:dyDescent="0.3">
      <c r="A17" s="272">
        <v>7</v>
      </c>
      <c r="B17" s="273" t="s">
        <v>226</v>
      </c>
      <c r="C17" s="237" t="s">
        <v>227</v>
      </c>
      <c r="D17" s="309">
        <v>31</v>
      </c>
      <c r="E17" s="81">
        <v>25</v>
      </c>
      <c r="F17" s="93">
        <f t="shared" si="0"/>
        <v>56</v>
      </c>
      <c r="G17" s="266">
        <f>ROUND(AVERAGE(5-4*(F17)/(F9)),1)</f>
        <v>2.8</v>
      </c>
      <c r="H17" s="245">
        <f t="shared" si="1"/>
        <v>0.42</v>
      </c>
      <c r="I17" s="246">
        <v>0</v>
      </c>
      <c r="J17" s="247">
        <f t="shared" si="2"/>
        <v>5</v>
      </c>
      <c r="K17" s="78">
        <v>39</v>
      </c>
      <c r="L17" s="78">
        <v>32</v>
      </c>
      <c r="M17" s="81">
        <f t="shared" si="3"/>
        <v>71</v>
      </c>
      <c r="N17" s="266">
        <f>ROUND(AVERAGE(5-4*(M17)/(M9)),1)</f>
        <v>2.2000000000000002</v>
      </c>
      <c r="O17" s="108">
        <f t="shared" si="24"/>
        <v>0.33</v>
      </c>
      <c r="P17" s="248" t="e">
        <f>ROUND(5-4*#REF!/10,1)</f>
        <v>#REF!</v>
      </c>
      <c r="Q17" s="249"/>
      <c r="R17" s="86">
        <v>50</v>
      </c>
      <c r="S17" s="86">
        <v>31</v>
      </c>
      <c r="T17" s="93">
        <f t="shared" si="4"/>
        <v>81</v>
      </c>
      <c r="U17" s="106">
        <f>ROUND(AVERAGE(5-4*(T17)/(T9)),1)</f>
        <v>1.8</v>
      </c>
      <c r="V17" s="108">
        <f t="shared" si="5"/>
        <v>0.27</v>
      </c>
      <c r="W17" s="83">
        <v>88</v>
      </c>
      <c r="X17" s="95">
        <v>80</v>
      </c>
      <c r="Y17" s="96">
        <f t="shared" si="6"/>
        <v>168</v>
      </c>
      <c r="Z17" s="106">
        <f>ROUND(AVERAGE(5-4*(Y17)/(Y9)),1)</f>
        <v>1.6</v>
      </c>
      <c r="AA17" s="108">
        <f t="shared" si="7"/>
        <v>0.24</v>
      </c>
      <c r="AB17" s="98">
        <v>27</v>
      </c>
      <c r="AC17" s="106">
        <f t="shared" si="8"/>
        <v>1</v>
      </c>
      <c r="AD17" s="108">
        <f t="shared" si="9"/>
        <v>0.1</v>
      </c>
      <c r="AE17" s="83">
        <v>34</v>
      </c>
      <c r="AF17" s="107">
        <f t="shared" si="10"/>
        <v>3.1</v>
      </c>
      <c r="AG17" s="108">
        <f t="shared" si="11"/>
        <v>0.92999999999999994</v>
      </c>
      <c r="AH17" s="96">
        <v>10</v>
      </c>
      <c r="AI17" s="154">
        <v>14</v>
      </c>
      <c r="AJ17" s="96">
        <f t="shared" si="12"/>
        <v>24</v>
      </c>
      <c r="AK17" s="106">
        <f>ROUND(AVERAGE(5-4*(AJ17)/(AJ9)),1)</f>
        <v>4</v>
      </c>
      <c r="AL17" s="108">
        <f t="shared" si="13"/>
        <v>0.6</v>
      </c>
      <c r="AM17" s="154">
        <v>35</v>
      </c>
      <c r="AN17" s="154">
        <v>42</v>
      </c>
      <c r="AO17" s="96">
        <f t="shared" si="14"/>
        <v>77</v>
      </c>
      <c r="AP17" s="106">
        <f>ROUND(AVERAGE(5-4*(AO17)/(AO9)),1)</f>
        <v>1.9</v>
      </c>
      <c r="AQ17" s="158">
        <f t="shared" si="15"/>
        <v>0.28499999999999998</v>
      </c>
      <c r="AR17" s="154">
        <v>32</v>
      </c>
      <c r="AS17" s="154">
        <v>35</v>
      </c>
      <c r="AT17" s="96">
        <f t="shared" si="16"/>
        <v>67</v>
      </c>
      <c r="AU17" s="148">
        <f>ROUND(AVERAGE(5-4*(AT17)/(AT9)),1)</f>
        <v>2.2999999999999998</v>
      </c>
      <c r="AV17" s="149">
        <f t="shared" si="17"/>
        <v>0.34499999999999997</v>
      </c>
      <c r="AW17" s="154">
        <v>85</v>
      </c>
      <c r="AX17" s="154">
        <v>88</v>
      </c>
      <c r="AY17" s="154">
        <v>89</v>
      </c>
      <c r="AZ17" s="93">
        <f t="shared" si="18"/>
        <v>262</v>
      </c>
      <c r="BA17" s="148">
        <f>ROUND(AVERAGE(5-4*(AZ17)/(AZ9)),1)</f>
        <v>1.5</v>
      </c>
      <c r="BB17" s="149">
        <f t="shared" si="19"/>
        <v>0.22499999999999998</v>
      </c>
      <c r="BC17" s="165">
        <v>27</v>
      </c>
      <c r="BD17" s="148">
        <f>5-(4*BC17/BC9)</f>
        <v>1</v>
      </c>
      <c r="BE17" s="149">
        <f t="shared" si="20"/>
        <v>0.1</v>
      </c>
      <c r="BF17" s="142">
        <v>33</v>
      </c>
      <c r="BG17" s="157">
        <f>ROUND(AVERAGE(5-4*(BF17)/(BF9)),1)</f>
        <v>3.1</v>
      </c>
      <c r="BH17" s="151">
        <f t="shared" si="21"/>
        <v>0.92999999999999994</v>
      </c>
      <c r="BI17" s="165">
        <f t="shared" si="26"/>
        <v>2.29</v>
      </c>
      <c r="BJ17" s="165">
        <f t="shared" si="22"/>
        <v>2.4850000000000003</v>
      </c>
      <c r="BK17" s="165">
        <f t="shared" si="23"/>
        <v>2.3875000000000002</v>
      </c>
      <c r="BL17" s="81" t="s">
        <v>91</v>
      </c>
    </row>
    <row r="18" spans="1:64" ht="15" customHeight="1" x14ac:dyDescent="0.3">
      <c r="A18" s="272">
        <v>8</v>
      </c>
      <c r="B18" s="273" t="s">
        <v>228</v>
      </c>
      <c r="C18" s="237" t="s">
        <v>229</v>
      </c>
      <c r="D18" s="202">
        <v>38</v>
      </c>
      <c r="E18" s="202">
        <v>35</v>
      </c>
      <c r="F18" s="93">
        <f t="shared" si="0"/>
        <v>73</v>
      </c>
      <c r="G18" s="267">
        <f>ROUND(AVERAGE(5-4*(F18)/(F9)),1)</f>
        <v>2.1</v>
      </c>
      <c r="H18" s="251">
        <f t="shared" si="1"/>
        <v>0.315</v>
      </c>
      <c r="I18" s="252">
        <v>28</v>
      </c>
      <c r="J18" s="253">
        <f t="shared" si="2"/>
        <v>1.3</v>
      </c>
      <c r="K18" s="205">
        <v>28</v>
      </c>
      <c r="L18" s="205">
        <v>31</v>
      </c>
      <c r="M18" s="81">
        <f t="shared" si="3"/>
        <v>59</v>
      </c>
      <c r="N18" s="267">
        <f>ROUND(AVERAGE(5-4*(M18)/(M9)),1)</f>
        <v>2.6</v>
      </c>
      <c r="O18" s="212">
        <f t="shared" si="24"/>
        <v>0.39</v>
      </c>
      <c r="P18" s="254" t="e">
        <f>ROUND(5-4*#REF!/10,1)</f>
        <v>#REF!</v>
      </c>
      <c r="Q18" s="255"/>
      <c r="R18" s="241">
        <v>28</v>
      </c>
      <c r="S18" s="241">
        <v>29</v>
      </c>
      <c r="T18" s="93">
        <f t="shared" si="4"/>
        <v>57</v>
      </c>
      <c r="U18" s="209">
        <f>ROUND(AVERAGE(5-4*(T18)/(T9)),1)</f>
        <v>2.7</v>
      </c>
      <c r="V18" s="212">
        <f t="shared" si="5"/>
        <v>0.40500000000000003</v>
      </c>
      <c r="W18" s="241">
        <v>75</v>
      </c>
      <c r="X18" s="208">
        <v>88</v>
      </c>
      <c r="Y18" s="96">
        <f t="shared" si="6"/>
        <v>163</v>
      </c>
      <c r="Z18" s="209">
        <f>ROUND(AVERAGE(5-4*(Y18)/(Y9)),1)</f>
        <v>1.7</v>
      </c>
      <c r="AA18" s="212">
        <f t="shared" si="7"/>
        <v>0.255</v>
      </c>
      <c r="AB18" s="98">
        <v>27</v>
      </c>
      <c r="AC18" s="209">
        <f>5-(4*AB18/27)</f>
        <v>1</v>
      </c>
      <c r="AD18" s="212">
        <f t="shared" si="9"/>
        <v>0.1</v>
      </c>
      <c r="AE18" s="241">
        <v>18</v>
      </c>
      <c r="AF18" s="211">
        <f t="shared" si="10"/>
        <v>4</v>
      </c>
      <c r="AG18" s="212">
        <f t="shared" si="11"/>
        <v>1.2</v>
      </c>
      <c r="AH18" s="203">
        <v>29</v>
      </c>
      <c r="AI18" s="207">
        <v>18</v>
      </c>
      <c r="AJ18" s="96">
        <f t="shared" si="12"/>
        <v>47</v>
      </c>
      <c r="AK18" s="209">
        <f>ROUND(AVERAGE(5-4*(AJ18)/(AJ9)),1)</f>
        <v>3.1</v>
      </c>
      <c r="AL18" s="212">
        <f t="shared" si="13"/>
        <v>0.46499999999999997</v>
      </c>
      <c r="AM18" s="207">
        <v>40</v>
      </c>
      <c r="AN18" s="207">
        <v>35</v>
      </c>
      <c r="AO18" s="96">
        <f t="shared" si="14"/>
        <v>75</v>
      </c>
      <c r="AP18" s="209">
        <f>ROUND(AVERAGE(5-4*(AO18)/(AO9)),1)</f>
        <v>2</v>
      </c>
      <c r="AQ18" s="215">
        <f t="shared" si="15"/>
        <v>0.3</v>
      </c>
      <c r="AR18" s="207">
        <v>30</v>
      </c>
      <c r="AS18" s="207">
        <v>40</v>
      </c>
      <c r="AT18" s="96">
        <f t="shared" si="16"/>
        <v>70</v>
      </c>
      <c r="AU18" s="213">
        <f>ROUND(AVERAGE(5-4*(AT18)/(AT9)),1)</f>
        <v>2.2000000000000002</v>
      </c>
      <c r="AV18" s="214">
        <f t="shared" si="17"/>
        <v>0.33</v>
      </c>
      <c r="AW18" s="207">
        <v>85</v>
      </c>
      <c r="AX18" s="207">
        <v>85</v>
      </c>
      <c r="AY18" s="207">
        <v>100</v>
      </c>
      <c r="AZ18" s="93">
        <f t="shared" si="18"/>
        <v>270</v>
      </c>
      <c r="BA18" s="213">
        <f>ROUND(AVERAGE(5-4*(AZ18)/(AZ9)),1)</f>
        <v>1.4</v>
      </c>
      <c r="BB18" s="214">
        <f t="shared" si="19"/>
        <v>0.21</v>
      </c>
      <c r="BC18" s="165">
        <v>27</v>
      </c>
      <c r="BD18" s="213">
        <f>5-(4*BC18/BC9)</f>
        <v>1</v>
      </c>
      <c r="BE18" s="214">
        <f t="shared" si="20"/>
        <v>0.1</v>
      </c>
      <c r="BF18" s="206">
        <v>35</v>
      </c>
      <c r="BG18" s="217">
        <f>ROUND(AVERAGE(5-4*(BF18)/(BF9)),1)</f>
        <v>3</v>
      </c>
      <c r="BH18" s="214">
        <f t="shared" si="21"/>
        <v>0.89999999999999991</v>
      </c>
      <c r="BI18" s="165">
        <f t="shared" si="26"/>
        <v>2.665</v>
      </c>
      <c r="BJ18" s="165">
        <f t="shared" si="22"/>
        <v>2.3049999999999997</v>
      </c>
      <c r="BK18" s="165">
        <f t="shared" si="23"/>
        <v>2.4849999999999999</v>
      </c>
      <c r="BL18" s="81" t="s">
        <v>91</v>
      </c>
    </row>
    <row r="19" spans="1:64" ht="15" customHeight="1" x14ac:dyDescent="0.3">
      <c r="A19" s="272">
        <v>9</v>
      </c>
      <c r="B19" s="273" t="s">
        <v>230</v>
      </c>
      <c r="C19" s="237" t="s">
        <v>231</v>
      </c>
      <c r="D19" s="86">
        <v>43</v>
      </c>
      <c r="E19" s="86">
        <v>34</v>
      </c>
      <c r="F19" s="93">
        <f t="shared" si="0"/>
        <v>77</v>
      </c>
      <c r="G19" s="266">
        <f>ROUND(AVERAGE(5-4*(F19)/(F9)),1)</f>
        <v>1.9</v>
      </c>
      <c r="H19" s="245">
        <f t="shared" si="1"/>
        <v>0.28499999999999998</v>
      </c>
      <c r="I19" s="246">
        <v>28</v>
      </c>
      <c r="J19" s="247">
        <f t="shared" si="2"/>
        <v>1.3</v>
      </c>
      <c r="K19" s="78">
        <v>39</v>
      </c>
      <c r="L19" s="78">
        <v>33</v>
      </c>
      <c r="M19" s="81">
        <f t="shared" si="3"/>
        <v>72</v>
      </c>
      <c r="N19" s="266">
        <f>ROUND(AVERAGE(5-4*(M19)/(M9)),1)</f>
        <v>2.1</v>
      </c>
      <c r="O19" s="108">
        <f t="shared" si="24"/>
        <v>0.315</v>
      </c>
      <c r="P19" s="248" t="e">
        <f>ROUND(5-4*#REF!/10,1)</f>
        <v>#REF!</v>
      </c>
      <c r="Q19" s="249"/>
      <c r="R19" s="81">
        <v>30</v>
      </c>
      <c r="S19" s="81">
        <v>37</v>
      </c>
      <c r="T19" s="93">
        <f t="shared" si="4"/>
        <v>67</v>
      </c>
      <c r="U19" s="106">
        <f>ROUND(AVERAGE(5-4*(T19)/(T9)),1)</f>
        <v>2.2999999999999998</v>
      </c>
      <c r="V19" s="108">
        <f t="shared" si="5"/>
        <v>0.34499999999999997</v>
      </c>
      <c r="W19" s="86">
        <v>80</v>
      </c>
      <c r="X19" s="95">
        <v>80</v>
      </c>
      <c r="Y19" s="96">
        <f t="shared" si="6"/>
        <v>160</v>
      </c>
      <c r="Z19" s="106">
        <f>ROUND(AVERAGE(5-4*(Y19)/(Y9)),1)</f>
        <v>1.8</v>
      </c>
      <c r="AA19" s="108">
        <f t="shared" si="7"/>
        <v>0.27</v>
      </c>
      <c r="AB19" s="98">
        <v>27</v>
      </c>
      <c r="AC19" s="106">
        <f t="shared" si="8"/>
        <v>1</v>
      </c>
      <c r="AD19" s="108">
        <f t="shared" si="9"/>
        <v>0.1</v>
      </c>
      <c r="AE19" s="75">
        <v>30</v>
      </c>
      <c r="AF19" s="107">
        <f t="shared" si="10"/>
        <v>3.3</v>
      </c>
      <c r="AG19" s="108">
        <f t="shared" si="11"/>
        <v>0.98999999999999988</v>
      </c>
      <c r="AH19" s="96">
        <v>21</v>
      </c>
      <c r="AI19" s="93">
        <v>22</v>
      </c>
      <c r="AJ19" s="96">
        <f t="shared" si="12"/>
        <v>43</v>
      </c>
      <c r="AK19" s="106">
        <f>ROUND(AVERAGE(5-4*(AJ19)/(AJ9)),1)</f>
        <v>3.3</v>
      </c>
      <c r="AL19" s="108">
        <f t="shared" si="13"/>
        <v>0.49499999999999994</v>
      </c>
      <c r="AM19" s="93">
        <v>33</v>
      </c>
      <c r="AN19" s="93">
        <v>35</v>
      </c>
      <c r="AO19" s="96">
        <f t="shared" si="14"/>
        <v>68</v>
      </c>
      <c r="AP19" s="106">
        <f>ROUND(AVERAGE(5-4*(AO19)/(AO9)),1)</f>
        <v>2.2999999999999998</v>
      </c>
      <c r="AQ19" s="158">
        <f t="shared" si="15"/>
        <v>0.34499999999999997</v>
      </c>
      <c r="AR19" s="93">
        <v>35</v>
      </c>
      <c r="AS19" s="93">
        <v>37</v>
      </c>
      <c r="AT19" s="96">
        <f t="shared" si="16"/>
        <v>72</v>
      </c>
      <c r="AU19" s="148">
        <f>ROUND(AVERAGE(5-4*(AT19)/(AT9)),1)</f>
        <v>2.1</v>
      </c>
      <c r="AV19" s="149">
        <f t="shared" si="17"/>
        <v>0.315</v>
      </c>
      <c r="AW19" s="93">
        <v>85</v>
      </c>
      <c r="AX19" s="93">
        <v>88</v>
      </c>
      <c r="AY19" s="93">
        <v>87</v>
      </c>
      <c r="AZ19" s="93">
        <f t="shared" si="18"/>
        <v>260</v>
      </c>
      <c r="BA19" s="148">
        <f>ROUND(AVERAGE(5-4*(AZ19)/(AZ9)),1)</f>
        <v>1.5</v>
      </c>
      <c r="BB19" s="149">
        <f t="shared" si="19"/>
        <v>0.22499999999999998</v>
      </c>
      <c r="BC19" s="165">
        <v>27</v>
      </c>
      <c r="BD19" s="148">
        <f>5-(4*BC19/BC9)</f>
        <v>1</v>
      </c>
      <c r="BE19" s="149">
        <f t="shared" si="20"/>
        <v>0.1</v>
      </c>
      <c r="BF19" s="81">
        <v>25</v>
      </c>
      <c r="BG19" s="157">
        <f>ROUND(AVERAGE(5-4*(BF19)/(BF9)),1)</f>
        <v>3.6</v>
      </c>
      <c r="BH19" s="151">
        <f t="shared" si="21"/>
        <v>1.08</v>
      </c>
      <c r="BI19" s="165">
        <f t="shared" si="26"/>
        <v>2.3049999999999997</v>
      </c>
      <c r="BJ19" s="165">
        <f t="shared" si="22"/>
        <v>2.56</v>
      </c>
      <c r="BK19" s="165">
        <f t="shared" si="23"/>
        <v>2.4325000000000001</v>
      </c>
      <c r="BL19" s="81" t="s">
        <v>91</v>
      </c>
    </row>
    <row r="20" spans="1:64" ht="14.25" customHeight="1" x14ac:dyDescent="0.3">
      <c r="A20" s="272">
        <v>10</v>
      </c>
      <c r="B20" s="273" t="s">
        <v>232</v>
      </c>
      <c r="C20" s="237" t="s">
        <v>233</v>
      </c>
      <c r="D20" s="86">
        <v>43</v>
      </c>
      <c r="E20" s="86">
        <v>32</v>
      </c>
      <c r="F20" s="93">
        <f t="shared" si="0"/>
        <v>75</v>
      </c>
      <c r="G20" s="266">
        <f>ROUND(AVERAGE(5-4*(F20)/(F9)),1)</f>
        <v>2</v>
      </c>
      <c r="H20" s="245">
        <f t="shared" si="1"/>
        <v>0.3</v>
      </c>
      <c r="I20" s="246">
        <v>30</v>
      </c>
      <c r="J20" s="247">
        <f t="shared" si="2"/>
        <v>1</v>
      </c>
      <c r="K20" s="78">
        <v>38</v>
      </c>
      <c r="L20" s="78">
        <v>32</v>
      </c>
      <c r="M20" s="81">
        <f t="shared" si="3"/>
        <v>70</v>
      </c>
      <c r="N20" s="266">
        <f>ROUND(AVERAGE(5-4*(M20)/(M9)),1)</f>
        <v>2.2000000000000002</v>
      </c>
      <c r="O20" s="108">
        <f t="shared" si="24"/>
        <v>0.33</v>
      </c>
      <c r="P20" s="248" t="e">
        <f>ROUND(5-4*#REF!/10,1)</f>
        <v>#REF!</v>
      </c>
      <c r="Q20" s="249"/>
      <c r="R20" s="81">
        <v>40</v>
      </c>
      <c r="S20" s="81">
        <v>38</v>
      </c>
      <c r="T20" s="93">
        <f t="shared" si="4"/>
        <v>78</v>
      </c>
      <c r="U20" s="106">
        <f>ROUND(AVERAGE(5-4*(T20)/(T9)),1)</f>
        <v>1.9</v>
      </c>
      <c r="V20" s="108">
        <f t="shared" si="5"/>
        <v>0.28499999999999998</v>
      </c>
      <c r="W20" s="86">
        <v>95</v>
      </c>
      <c r="X20" s="95">
        <v>100</v>
      </c>
      <c r="Y20" s="96">
        <f t="shared" si="6"/>
        <v>195</v>
      </c>
      <c r="Z20" s="106">
        <f>ROUND(AVERAGE(5-4*(Y20)/(Y9)),1)</f>
        <v>1.1000000000000001</v>
      </c>
      <c r="AA20" s="108">
        <f t="shared" si="7"/>
        <v>0.16500000000000001</v>
      </c>
      <c r="AB20" s="98">
        <v>27</v>
      </c>
      <c r="AC20" s="106">
        <f t="shared" si="8"/>
        <v>1</v>
      </c>
      <c r="AD20" s="108">
        <f t="shared" si="9"/>
        <v>0.1</v>
      </c>
      <c r="AE20" s="75">
        <v>20</v>
      </c>
      <c r="AF20" s="107">
        <f t="shared" si="10"/>
        <v>3.9</v>
      </c>
      <c r="AG20" s="108">
        <f t="shared" si="11"/>
        <v>1.17</v>
      </c>
      <c r="AH20" s="96">
        <v>31</v>
      </c>
      <c r="AI20" s="93">
        <v>24</v>
      </c>
      <c r="AJ20" s="96">
        <f t="shared" si="12"/>
        <v>55</v>
      </c>
      <c r="AK20" s="106">
        <f>ROUND(AVERAGE(5-4*(AJ20)/(AJ9)),1)</f>
        <v>2.8</v>
      </c>
      <c r="AL20" s="108">
        <f t="shared" si="13"/>
        <v>0.42</v>
      </c>
      <c r="AM20" s="93">
        <v>37</v>
      </c>
      <c r="AN20" s="93">
        <v>40</v>
      </c>
      <c r="AO20" s="96">
        <f t="shared" si="14"/>
        <v>77</v>
      </c>
      <c r="AP20" s="106">
        <f>ROUND(AVERAGE(5-4*(AO20)/(AO9)),1)</f>
        <v>1.9</v>
      </c>
      <c r="AQ20" s="158">
        <f t="shared" si="15"/>
        <v>0.28499999999999998</v>
      </c>
      <c r="AR20" s="93">
        <v>35</v>
      </c>
      <c r="AS20" s="93">
        <v>30</v>
      </c>
      <c r="AT20" s="96">
        <f t="shared" si="16"/>
        <v>65</v>
      </c>
      <c r="AU20" s="148">
        <f>ROUND(AVERAGE(5-4*(AT20)/(AT9)),1)</f>
        <v>2.4</v>
      </c>
      <c r="AV20" s="149">
        <f t="shared" si="17"/>
        <v>0.36</v>
      </c>
      <c r="AW20" s="93">
        <v>88</v>
      </c>
      <c r="AX20" s="93">
        <v>92</v>
      </c>
      <c r="AY20" s="93">
        <v>100</v>
      </c>
      <c r="AZ20" s="93">
        <f t="shared" si="18"/>
        <v>280</v>
      </c>
      <c r="BA20" s="148">
        <f>ROUND(AVERAGE(5-4*(AZ20)/(AZ9)),1)</f>
        <v>1.3</v>
      </c>
      <c r="BB20" s="149">
        <f t="shared" si="19"/>
        <v>0.19500000000000001</v>
      </c>
      <c r="BC20" s="165">
        <v>27</v>
      </c>
      <c r="BD20" s="148">
        <f>5-(4*BC20/BC9)</f>
        <v>1</v>
      </c>
      <c r="BE20" s="149">
        <f t="shared" si="20"/>
        <v>0.1</v>
      </c>
      <c r="BF20" s="81">
        <v>39</v>
      </c>
      <c r="BG20" s="157">
        <f>ROUND(AVERAGE(5-4*(BF20)/(BF9)),1)</f>
        <v>2.8</v>
      </c>
      <c r="BH20" s="151">
        <f t="shared" si="21"/>
        <v>0.84</v>
      </c>
      <c r="BI20" s="165">
        <f t="shared" si="26"/>
        <v>2.35</v>
      </c>
      <c r="BJ20" s="165">
        <f t="shared" si="22"/>
        <v>2.2000000000000002</v>
      </c>
      <c r="BK20" s="165">
        <f t="shared" si="23"/>
        <v>2.2750000000000004</v>
      </c>
      <c r="BL20" s="81" t="s">
        <v>91</v>
      </c>
    </row>
    <row r="21" spans="1:64" ht="15" customHeight="1" x14ac:dyDescent="0.3">
      <c r="A21" s="272">
        <v>11</v>
      </c>
      <c r="B21" s="273" t="s">
        <v>234</v>
      </c>
      <c r="C21" s="237" t="s">
        <v>235</v>
      </c>
      <c r="D21" s="86">
        <v>41</v>
      </c>
      <c r="E21" s="86">
        <v>33</v>
      </c>
      <c r="F21" s="93">
        <f t="shared" si="0"/>
        <v>74</v>
      </c>
      <c r="G21" s="266">
        <f>ROUND(AVERAGE(5-4*(F21)/(F9)),1)</f>
        <v>2</v>
      </c>
      <c r="H21" s="245">
        <f t="shared" si="1"/>
        <v>0.3</v>
      </c>
      <c r="I21" s="246">
        <v>26</v>
      </c>
      <c r="J21" s="247">
        <f t="shared" si="2"/>
        <v>1.5</v>
      </c>
      <c r="K21" s="78">
        <v>38</v>
      </c>
      <c r="L21" s="78">
        <v>29</v>
      </c>
      <c r="M21" s="81">
        <f t="shared" si="3"/>
        <v>67</v>
      </c>
      <c r="N21" s="266">
        <f>ROUND(AVERAGE(5-4*(M21)/(M9)),1)</f>
        <v>2.2999999999999998</v>
      </c>
      <c r="O21" s="108">
        <f t="shared" si="24"/>
        <v>0.34499999999999997</v>
      </c>
      <c r="P21" s="248" t="e">
        <f>ROUND(5-4*#REF!/10,1)</f>
        <v>#REF!</v>
      </c>
      <c r="Q21" s="249"/>
      <c r="R21" s="81">
        <v>40</v>
      </c>
      <c r="S21" s="81">
        <v>38</v>
      </c>
      <c r="T21" s="93">
        <f t="shared" si="4"/>
        <v>78</v>
      </c>
      <c r="U21" s="106">
        <f>ROUND(AVERAGE(5-4*(T21)/(T9)),1)</f>
        <v>1.9</v>
      </c>
      <c r="V21" s="108">
        <f>U21*0.15</f>
        <v>0.28499999999999998</v>
      </c>
      <c r="W21" s="83">
        <v>87</v>
      </c>
      <c r="X21" s="95">
        <v>90</v>
      </c>
      <c r="Y21" s="96">
        <f t="shared" si="6"/>
        <v>177</v>
      </c>
      <c r="Z21" s="106">
        <f>ROUND(AVERAGE(5-4*(Y21)/(Y9)),1)</f>
        <v>1.5</v>
      </c>
      <c r="AA21" s="108">
        <f t="shared" si="7"/>
        <v>0.22499999999999998</v>
      </c>
      <c r="AB21" s="98">
        <v>27</v>
      </c>
      <c r="AC21" s="106">
        <f t="shared" si="8"/>
        <v>1</v>
      </c>
      <c r="AD21" s="108">
        <f t="shared" si="9"/>
        <v>0.1</v>
      </c>
      <c r="AE21" s="83">
        <v>42</v>
      </c>
      <c r="AF21" s="107">
        <f t="shared" si="10"/>
        <v>2.6</v>
      </c>
      <c r="AG21" s="108">
        <f>AF21*0.3</f>
        <v>0.78</v>
      </c>
      <c r="AH21" s="96">
        <v>15</v>
      </c>
      <c r="AI21" s="93">
        <v>18</v>
      </c>
      <c r="AJ21" s="96">
        <f t="shared" si="12"/>
        <v>33</v>
      </c>
      <c r="AK21" s="106">
        <f>ROUND(AVERAGE(5-4*(AJ21)/(AJ9)),1)</f>
        <v>3.7</v>
      </c>
      <c r="AL21" s="108">
        <f t="shared" si="13"/>
        <v>0.55500000000000005</v>
      </c>
      <c r="AM21" s="93">
        <v>30</v>
      </c>
      <c r="AN21" s="93">
        <v>30</v>
      </c>
      <c r="AO21" s="96">
        <f t="shared" si="14"/>
        <v>60</v>
      </c>
      <c r="AP21" s="106">
        <f>ROUND(AVERAGE(5-4*(AO21)/(AO9)),1)</f>
        <v>2.6</v>
      </c>
      <c r="AQ21" s="158">
        <f t="shared" si="15"/>
        <v>0.39</v>
      </c>
      <c r="AR21" s="93">
        <v>30</v>
      </c>
      <c r="AS21" s="93">
        <v>35</v>
      </c>
      <c r="AT21" s="96">
        <f t="shared" si="16"/>
        <v>65</v>
      </c>
      <c r="AU21" s="148">
        <f>ROUND(AVERAGE(5-4*(AT21)/(AT9)),1)</f>
        <v>2.4</v>
      </c>
      <c r="AV21" s="149">
        <f t="shared" si="17"/>
        <v>0.36</v>
      </c>
      <c r="AW21" s="93">
        <v>100</v>
      </c>
      <c r="AX21" s="93">
        <v>100</v>
      </c>
      <c r="AY21" s="93">
        <v>85</v>
      </c>
      <c r="AZ21" s="93">
        <f t="shared" si="18"/>
        <v>285</v>
      </c>
      <c r="BA21" s="148">
        <f>ROUND(AVERAGE(5-4*(AZ21)/(AZ9)),1)</f>
        <v>1.2</v>
      </c>
      <c r="BB21" s="149">
        <f t="shared" si="19"/>
        <v>0.18</v>
      </c>
      <c r="BC21" s="165">
        <v>27</v>
      </c>
      <c r="BD21" s="148">
        <f>5-(4*BC21/BC9)</f>
        <v>1</v>
      </c>
      <c r="BE21" s="149">
        <f t="shared" si="20"/>
        <v>0.1</v>
      </c>
      <c r="BF21" s="81">
        <v>26</v>
      </c>
      <c r="BG21" s="157">
        <f>ROUND(AVERAGE(5-4*(BF21)/(BF9)),1)</f>
        <v>3.5</v>
      </c>
      <c r="BH21" s="151">
        <f t="shared" si="21"/>
        <v>1.05</v>
      </c>
      <c r="BI21" s="165">
        <f t="shared" si="26"/>
        <v>2.0350000000000001</v>
      </c>
      <c r="BJ21" s="165">
        <f t="shared" si="22"/>
        <v>2.6350000000000002</v>
      </c>
      <c r="BK21" s="165">
        <f>(BI21*1/2)+(BJ21*1/2)</f>
        <v>2.335</v>
      </c>
      <c r="BL21" s="81" t="s">
        <v>91</v>
      </c>
    </row>
    <row r="22" spans="1:64" ht="14.25" customHeight="1" x14ac:dyDescent="0.3">
      <c r="A22" s="272">
        <v>12</v>
      </c>
      <c r="B22" s="273" t="s">
        <v>236</v>
      </c>
      <c r="C22" s="237" t="s">
        <v>237</v>
      </c>
      <c r="D22" s="86">
        <v>38</v>
      </c>
      <c r="E22" s="86">
        <v>34</v>
      </c>
      <c r="F22" s="93">
        <f t="shared" si="0"/>
        <v>72</v>
      </c>
      <c r="G22" s="266">
        <f>ROUND(AVERAGE(5-4*(F22)/(F9)),1)</f>
        <v>2.1</v>
      </c>
      <c r="H22" s="245">
        <f t="shared" si="1"/>
        <v>0.315</v>
      </c>
      <c r="I22" s="246">
        <v>22</v>
      </c>
      <c r="J22" s="247">
        <f t="shared" si="2"/>
        <v>2.1</v>
      </c>
      <c r="K22" s="78">
        <v>45</v>
      </c>
      <c r="L22" s="78">
        <v>46</v>
      </c>
      <c r="M22" s="81">
        <f t="shared" si="3"/>
        <v>91</v>
      </c>
      <c r="N22" s="266">
        <f>ROUND(AVERAGE(5-4*(M22)/(M9)),1)</f>
        <v>1.4</v>
      </c>
      <c r="O22" s="108">
        <f t="shared" si="24"/>
        <v>0.21</v>
      </c>
      <c r="P22" s="248" t="e">
        <f>ROUND(5-4*#REF!/10,1)</f>
        <v>#REF!</v>
      </c>
      <c r="Q22" s="249"/>
      <c r="R22" s="81">
        <v>45</v>
      </c>
      <c r="S22" s="81">
        <v>42</v>
      </c>
      <c r="T22" s="93">
        <f t="shared" si="4"/>
        <v>87</v>
      </c>
      <c r="U22" s="106">
        <f>ROUND(AVERAGE(5-4*(T22)/(T9)),1)</f>
        <v>1.5</v>
      </c>
      <c r="V22" s="108">
        <f t="shared" si="5"/>
        <v>0.22499999999999998</v>
      </c>
      <c r="W22" s="83">
        <v>100</v>
      </c>
      <c r="X22" s="95">
        <v>100</v>
      </c>
      <c r="Y22" s="96">
        <f t="shared" si="6"/>
        <v>200</v>
      </c>
      <c r="Z22" s="106">
        <f>ROUND(AVERAGE(5-4*(Y22)/(Y9)),1)</f>
        <v>1</v>
      </c>
      <c r="AA22" s="108">
        <f t="shared" si="7"/>
        <v>0.15</v>
      </c>
      <c r="AB22" s="98">
        <v>27</v>
      </c>
      <c r="AC22" s="106">
        <f t="shared" si="8"/>
        <v>1</v>
      </c>
      <c r="AD22" s="108">
        <f t="shared" si="9"/>
        <v>0.1</v>
      </c>
      <c r="AE22" s="83">
        <v>31</v>
      </c>
      <c r="AF22" s="107">
        <f t="shared" si="10"/>
        <v>3.2</v>
      </c>
      <c r="AG22" s="108">
        <f t="shared" si="11"/>
        <v>0.96</v>
      </c>
      <c r="AH22" s="96">
        <v>21</v>
      </c>
      <c r="AI22" s="93">
        <v>16</v>
      </c>
      <c r="AJ22" s="96">
        <f t="shared" si="12"/>
        <v>37</v>
      </c>
      <c r="AK22" s="106">
        <f>ROUND(AVERAGE(5-4*(AJ22)/(AJ9)),1)</f>
        <v>3.5</v>
      </c>
      <c r="AL22" s="108">
        <f t="shared" si="13"/>
        <v>0.52500000000000002</v>
      </c>
      <c r="AM22" s="93">
        <v>40</v>
      </c>
      <c r="AN22" s="93">
        <v>40</v>
      </c>
      <c r="AO22" s="96">
        <f t="shared" si="14"/>
        <v>80</v>
      </c>
      <c r="AP22" s="106">
        <f>ROUND(AVERAGE(5-4*(AO22)/(AO9)),1)</f>
        <v>1.8</v>
      </c>
      <c r="AQ22" s="158">
        <f t="shared" si="15"/>
        <v>0.27</v>
      </c>
      <c r="AR22" s="93">
        <v>40</v>
      </c>
      <c r="AS22" s="93">
        <v>42</v>
      </c>
      <c r="AT22" s="96">
        <f t="shared" si="16"/>
        <v>82</v>
      </c>
      <c r="AU22" s="148">
        <f>ROUND(AVERAGE(5-4*(AT22)/(AT9)),1)</f>
        <v>1.7</v>
      </c>
      <c r="AV22" s="149">
        <f t="shared" si="17"/>
        <v>0.255</v>
      </c>
      <c r="AW22" s="93">
        <v>100</v>
      </c>
      <c r="AX22" s="93">
        <v>100</v>
      </c>
      <c r="AY22" s="93">
        <v>90</v>
      </c>
      <c r="AZ22" s="93">
        <f t="shared" si="18"/>
        <v>290</v>
      </c>
      <c r="BA22" s="148">
        <f>ROUND(AVERAGE(5-4*(AZ22)/(AZ9)),1)</f>
        <v>1.1000000000000001</v>
      </c>
      <c r="BB22" s="149">
        <f t="shared" si="19"/>
        <v>0.16500000000000001</v>
      </c>
      <c r="BC22" s="165">
        <v>27</v>
      </c>
      <c r="BD22" s="148">
        <f>5-(4*BC22/BC9)</f>
        <v>1</v>
      </c>
      <c r="BE22" s="149">
        <f t="shared" si="20"/>
        <v>0.1</v>
      </c>
      <c r="BF22" s="81">
        <v>41</v>
      </c>
      <c r="BG22" s="157">
        <f>ROUND(AVERAGE(5-4*(BF22)/(BF9)),1)</f>
        <v>2.7</v>
      </c>
      <c r="BH22" s="151">
        <f t="shared" si="21"/>
        <v>0.81</v>
      </c>
      <c r="BI22" s="165">
        <f t="shared" si="26"/>
        <v>1.96</v>
      </c>
      <c r="BJ22" s="165">
        <f>AL22+AQ22+AV22+BB22+BE22+BH22</f>
        <v>2.125</v>
      </c>
      <c r="BK22" s="165">
        <f t="shared" si="23"/>
        <v>2.0425</v>
      </c>
      <c r="BL22" s="81" t="s">
        <v>91</v>
      </c>
    </row>
    <row r="23" spans="1:64" ht="14.25" customHeight="1" x14ac:dyDescent="0.3">
      <c r="A23" s="272">
        <v>13</v>
      </c>
      <c r="B23" s="273" t="s">
        <v>238</v>
      </c>
      <c r="C23" s="237" t="s">
        <v>239</v>
      </c>
      <c r="D23" s="86">
        <v>42</v>
      </c>
      <c r="E23" s="86">
        <v>44</v>
      </c>
      <c r="F23" s="93">
        <f t="shared" si="0"/>
        <v>86</v>
      </c>
      <c r="G23" s="266">
        <f>ROUND(AVERAGE(5-4*(F23)/(F9)),1)</f>
        <v>1.6</v>
      </c>
      <c r="H23" s="245">
        <f t="shared" si="1"/>
        <v>0.24</v>
      </c>
      <c r="I23" s="246">
        <v>26</v>
      </c>
      <c r="J23" s="247">
        <f t="shared" si="2"/>
        <v>1.5</v>
      </c>
      <c r="K23" s="78">
        <v>40</v>
      </c>
      <c r="L23" s="78">
        <v>40</v>
      </c>
      <c r="M23" s="81">
        <f t="shared" si="3"/>
        <v>80</v>
      </c>
      <c r="N23" s="266">
        <f>ROUND(AVERAGE(5-4*(M23)/(M9)),1)</f>
        <v>1.8</v>
      </c>
      <c r="O23" s="108">
        <f t="shared" si="24"/>
        <v>0.27</v>
      </c>
      <c r="P23" s="248" t="e">
        <f>ROUND(5-4*#REF!/10,1)</f>
        <v>#REF!</v>
      </c>
      <c r="Q23" s="249"/>
      <c r="R23" s="81">
        <v>45</v>
      </c>
      <c r="S23" s="81">
        <v>40</v>
      </c>
      <c r="T23" s="93">
        <f t="shared" si="4"/>
        <v>85</v>
      </c>
      <c r="U23" s="106">
        <f>ROUND(AVERAGE(5-4*(T23)/(T9)),1)</f>
        <v>1.6</v>
      </c>
      <c r="V23" s="108">
        <f t="shared" si="5"/>
        <v>0.24</v>
      </c>
      <c r="W23" s="83">
        <v>85</v>
      </c>
      <c r="X23" s="95">
        <v>90</v>
      </c>
      <c r="Y23" s="96">
        <f t="shared" si="6"/>
        <v>175</v>
      </c>
      <c r="Z23" s="106">
        <f>ROUND(AVERAGE(5-4*(Y23)/(Y9)),1)</f>
        <v>1.5</v>
      </c>
      <c r="AA23" s="108">
        <f t="shared" si="7"/>
        <v>0.22499999999999998</v>
      </c>
      <c r="AB23" s="98">
        <v>27</v>
      </c>
      <c r="AC23" s="106">
        <f t="shared" si="8"/>
        <v>1</v>
      </c>
      <c r="AD23" s="108">
        <f t="shared" si="9"/>
        <v>0.1</v>
      </c>
      <c r="AE23" s="83">
        <v>41</v>
      </c>
      <c r="AF23" s="107">
        <f t="shared" si="10"/>
        <v>2.7</v>
      </c>
      <c r="AG23" s="108">
        <f t="shared" si="11"/>
        <v>0.81</v>
      </c>
      <c r="AH23" s="96">
        <v>23</v>
      </c>
      <c r="AI23" s="93">
        <v>22</v>
      </c>
      <c r="AJ23" s="96">
        <f t="shared" si="12"/>
        <v>45</v>
      </c>
      <c r="AK23" s="106">
        <f>ROUND(AVERAGE(5-4*(AJ23)/(AJ9)),1)</f>
        <v>3.2</v>
      </c>
      <c r="AL23" s="108">
        <f t="shared" si="13"/>
        <v>0.48</v>
      </c>
      <c r="AM23" s="93">
        <v>40</v>
      </c>
      <c r="AN23" s="93">
        <v>40</v>
      </c>
      <c r="AO23" s="96">
        <f t="shared" si="14"/>
        <v>80</v>
      </c>
      <c r="AP23" s="106">
        <f>ROUND(AVERAGE(5-4*(AO23)/(AO9)),1)</f>
        <v>1.8</v>
      </c>
      <c r="AQ23" s="158">
        <f t="shared" si="15"/>
        <v>0.27</v>
      </c>
      <c r="AR23" s="93">
        <v>38</v>
      </c>
      <c r="AS23" s="93">
        <v>40</v>
      </c>
      <c r="AT23" s="96">
        <f t="shared" si="16"/>
        <v>78</v>
      </c>
      <c r="AU23" s="148">
        <f>ROUND(AVERAGE(5-4*(AT23)/(AT9)),1)</f>
        <v>1.9</v>
      </c>
      <c r="AV23" s="149">
        <f t="shared" si="17"/>
        <v>0.28499999999999998</v>
      </c>
      <c r="AW23" s="93">
        <v>90</v>
      </c>
      <c r="AX23" s="93">
        <v>90</v>
      </c>
      <c r="AY23" s="93">
        <v>90</v>
      </c>
      <c r="AZ23" s="93">
        <f t="shared" si="18"/>
        <v>270</v>
      </c>
      <c r="BA23" s="148">
        <f>ROUND(AVERAGE(5-4*(AZ23)/(AZ9)),1)</f>
        <v>1.4</v>
      </c>
      <c r="BB23" s="149">
        <f t="shared" si="19"/>
        <v>0.21</v>
      </c>
      <c r="BC23" s="165">
        <v>27</v>
      </c>
      <c r="BD23" s="148">
        <f>5-(4*BC23/BC9)</f>
        <v>1</v>
      </c>
      <c r="BE23" s="149">
        <f t="shared" si="20"/>
        <v>0.1</v>
      </c>
      <c r="BF23" s="81">
        <v>55</v>
      </c>
      <c r="BG23" s="157">
        <f>ROUND(AVERAGE(5-4*(BF23)/(BF9)),1)</f>
        <v>1.9</v>
      </c>
      <c r="BH23" s="151">
        <f t="shared" si="21"/>
        <v>0.56999999999999995</v>
      </c>
      <c r="BI23" s="165">
        <f t="shared" si="26"/>
        <v>1.885</v>
      </c>
      <c r="BJ23" s="165">
        <f t="shared" si="22"/>
        <v>1.915</v>
      </c>
      <c r="BK23" s="165">
        <f t="shared" si="23"/>
        <v>1.9</v>
      </c>
      <c r="BL23" s="81" t="s">
        <v>91</v>
      </c>
    </row>
    <row r="24" spans="1:64" s="20" customFormat="1" ht="16.5" customHeight="1" x14ac:dyDescent="0.3">
      <c r="A24" s="272">
        <v>14</v>
      </c>
      <c r="B24" s="273" t="s">
        <v>240</v>
      </c>
      <c r="C24" s="237" t="s">
        <v>241</v>
      </c>
      <c r="D24" s="86">
        <v>34</v>
      </c>
      <c r="E24" s="86">
        <v>34</v>
      </c>
      <c r="F24" s="93">
        <f t="shared" si="0"/>
        <v>68</v>
      </c>
      <c r="G24" s="266">
        <f>ROUND(AVERAGE(5-4*(F24)/(F9)),1)</f>
        <v>2.2999999999999998</v>
      </c>
      <c r="H24" s="245">
        <f>G24*0.15</f>
        <v>0.34499999999999997</v>
      </c>
      <c r="I24" s="246">
        <v>0</v>
      </c>
      <c r="J24" s="247">
        <f t="shared" si="2"/>
        <v>5</v>
      </c>
      <c r="K24" s="78">
        <v>39</v>
      </c>
      <c r="L24" s="78">
        <v>31</v>
      </c>
      <c r="M24" s="81">
        <f t="shared" si="3"/>
        <v>70</v>
      </c>
      <c r="N24" s="266">
        <f>ROUND(AVERAGE(5-4*(M24)/(M9)),1)</f>
        <v>2.2000000000000002</v>
      </c>
      <c r="O24" s="108">
        <f t="shared" si="24"/>
        <v>0.33</v>
      </c>
      <c r="P24" s="248" t="e">
        <f>ROUND(5-4*#REF!/10,1)</f>
        <v>#REF!</v>
      </c>
      <c r="Q24" s="249"/>
      <c r="R24" s="81">
        <v>40</v>
      </c>
      <c r="S24" s="81">
        <v>30</v>
      </c>
      <c r="T24" s="93">
        <f t="shared" si="4"/>
        <v>70</v>
      </c>
      <c r="U24" s="106">
        <f>ROUND(AVERAGE(5-4*(T24)/(T9)),1)</f>
        <v>2.2000000000000002</v>
      </c>
      <c r="V24" s="108">
        <f t="shared" si="5"/>
        <v>0.33</v>
      </c>
      <c r="W24" s="83">
        <v>90</v>
      </c>
      <c r="X24" s="95">
        <v>90</v>
      </c>
      <c r="Y24" s="96">
        <f t="shared" si="6"/>
        <v>180</v>
      </c>
      <c r="Z24" s="106">
        <f>ROUND(AVERAGE(5-4*(Y24)/(Y9)),1)</f>
        <v>1.4</v>
      </c>
      <c r="AA24" s="108">
        <f t="shared" si="7"/>
        <v>0.21</v>
      </c>
      <c r="AB24" s="98">
        <v>27</v>
      </c>
      <c r="AC24" s="106">
        <f t="shared" si="8"/>
        <v>1</v>
      </c>
      <c r="AD24" s="108">
        <f t="shared" si="9"/>
        <v>0.1</v>
      </c>
      <c r="AE24" s="83">
        <v>24</v>
      </c>
      <c r="AF24" s="107">
        <f>ROUND(AVERAGE(5-4*(AE24)/(70)),1)</f>
        <v>3.6</v>
      </c>
      <c r="AG24" s="108">
        <f t="shared" si="11"/>
        <v>1.08</v>
      </c>
      <c r="AH24" s="96">
        <v>19</v>
      </c>
      <c r="AI24" s="93">
        <v>20</v>
      </c>
      <c r="AJ24" s="96">
        <f t="shared" si="12"/>
        <v>39</v>
      </c>
      <c r="AK24" s="106">
        <f>ROUND(AVERAGE(5-4*(AJ24)/(AJ9)),1)</f>
        <v>3.4</v>
      </c>
      <c r="AL24" s="108">
        <f t="shared" si="13"/>
        <v>0.51</v>
      </c>
      <c r="AM24" s="93">
        <v>30</v>
      </c>
      <c r="AN24" s="93">
        <v>35</v>
      </c>
      <c r="AO24" s="96">
        <f t="shared" si="14"/>
        <v>65</v>
      </c>
      <c r="AP24" s="106">
        <f>ROUND(AVERAGE(5-4*(AO24)/(AO9)),1)</f>
        <v>2.4</v>
      </c>
      <c r="AQ24" s="158">
        <f t="shared" si="15"/>
        <v>0.36</v>
      </c>
      <c r="AR24" s="93">
        <v>36</v>
      </c>
      <c r="AS24" s="93">
        <v>42</v>
      </c>
      <c r="AT24" s="96">
        <f t="shared" si="16"/>
        <v>78</v>
      </c>
      <c r="AU24" s="148">
        <f>ROUND(AVERAGE(5-4*(AT24)/(AT9)),1)</f>
        <v>1.9</v>
      </c>
      <c r="AV24" s="149">
        <f t="shared" si="17"/>
        <v>0.28499999999999998</v>
      </c>
      <c r="AW24" s="93">
        <v>100</v>
      </c>
      <c r="AX24" s="93">
        <v>100</v>
      </c>
      <c r="AY24" s="93">
        <v>85</v>
      </c>
      <c r="AZ24" s="93">
        <f t="shared" si="18"/>
        <v>285</v>
      </c>
      <c r="BA24" s="148">
        <f>ROUND(AVERAGE(5-4*(AZ24)/(AZ9)),1)</f>
        <v>1.2</v>
      </c>
      <c r="BB24" s="149">
        <f t="shared" si="19"/>
        <v>0.18</v>
      </c>
      <c r="BC24" s="165">
        <v>27</v>
      </c>
      <c r="BD24" s="148">
        <f>5-(4*BC24/BC9)</f>
        <v>1</v>
      </c>
      <c r="BE24" s="149">
        <f t="shared" si="20"/>
        <v>0.1</v>
      </c>
      <c r="BF24" s="81">
        <v>39</v>
      </c>
      <c r="BG24" s="157">
        <f>ROUND(AVERAGE(5-4*(BF24)/(BF9)),1)</f>
        <v>2.8</v>
      </c>
      <c r="BH24" s="151">
        <f t="shared" si="21"/>
        <v>0.84</v>
      </c>
      <c r="BI24" s="165">
        <f t="shared" si="26"/>
        <v>2.3950000000000005</v>
      </c>
      <c r="BJ24" s="165">
        <f t="shared" si="22"/>
        <v>2.2749999999999999</v>
      </c>
      <c r="BK24" s="165">
        <f t="shared" si="23"/>
        <v>2.335</v>
      </c>
      <c r="BL24" s="81" t="s">
        <v>91</v>
      </c>
    </row>
    <row r="25" spans="1:64" s="20" customFormat="1" ht="15" customHeight="1" x14ac:dyDescent="0.3">
      <c r="A25" s="272">
        <v>15</v>
      </c>
      <c r="B25" s="273" t="s">
        <v>242</v>
      </c>
      <c r="C25" s="237" t="s">
        <v>243</v>
      </c>
      <c r="D25" s="86">
        <v>34</v>
      </c>
      <c r="E25" s="86">
        <v>29</v>
      </c>
      <c r="F25" s="93">
        <f t="shared" si="0"/>
        <v>63</v>
      </c>
      <c r="G25" s="266">
        <f>ROUND(AVERAGE(5-4*(F25)/(F9)),1)</f>
        <v>2.5</v>
      </c>
      <c r="H25" s="245">
        <f>G25*0.15</f>
        <v>0.375</v>
      </c>
      <c r="I25" s="246">
        <v>25</v>
      </c>
      <c r="J25" s="247">
        <f>ROUND(5-4*I25/30,1)</f>
        <v>1.7</v>
      </c>
      <c r="K25" s="78">
        <v>42</v>
      </c>
      <c r="L25" s="78">
        <v>30</v>
      </c>
      <c r="M25" s="81">
        <f t="shared" si="3"/>
        <v>72</v>
      </c>
      <c r="N25" s="266">
        <f>ROUND(AVERAGE(5-4*(M25)/(M9)),1)</f>
        <v>2.1</v>
      </c>
      <c r="O25" s="108">
        <f t="shared" si="24"/>
        <v>0.315</v>
      </c>
      <c r="P25" s="248" t="e">
        <f>ROUND(5-4*#REF!/10,1)</f>
        <v>#REF!</v>
      </c>
      <c r="Q25" s="249"/>
      <c r="R25" s="83">
        <v>37</v>
      </c>
      <c r="S25" s="83">
        <v>31</v>
      </c>
      <c r="T25" s="93">
        <f t="shared" si="4"/>
        <v>68</v>
      </c>
      <c r="U25" s="106">
        <f>ROUND(AVERAGE(5-4*(T25)/(T9)),1)</f>
        <v>2.2999999999999998</v>
      </c>
      <c r="V25" s="108">
        <f t="shared" si="5"/>
        <v>0.34499999999999997</v>
      </c>
      <c r="W25" s="83">
        <v>95</v>
      </c>
      <c r="X25" s="95">
        <v>92</v>
      </c>
      <c r="Y25" s="96">
        <f t="shared" si="6"/>
        <v>187</v>
      </c>
      <c r="Z25" s="106">
        <f>ROUND(AVERAGE(5-4*(Y25)/(Y9)),1)</f>
        <v>1.3</v>
      </c>
      <c r="AA25" s="108">
        <f t="shared" si="7"/>
        <v>0.19500000000000001</v>
      </c>
      <c r="AB25" s="98">
        <v>27</v>
      </c>
      <c r="AC25" s="106">
        <f t="shared" si="8"/>
        <v>1</v>
      </c>
      <c r="AD25" s="108">
        <f t="shared" si="9"/>
        <v>0.1</v>
      </c>
      <c r="AE25" s="83">
        <v>26</v>
      </c>
      <c r="AF25" s="107">
        <f t="shared" si="10"/>
        <v>3.5</v>
      </c>
      <c r="AG25" s="108">
        <f t="shared" si="11"/>
        <v>1.05</v>
      </c>
      <c r="AH25" s="96">
        <v>19</v>
      </c>
      <c r="AI25" s="93">
        <v>18</v>
      </c>
      <c r="AJ25" s="96">
        <f>SUM(AH25+AI25)</f>
        <v>37</v>
      </c>
      <c r="AK25" s="106">
        <f>ROUND(AVERAGE(5-4*(AJ25)/(AJ9)),1)</f>
        <v>3.5</v>
      </c>
      <c r="AL25" s="108">
        <f>AK25*0.15</f>
        <v>0.52500000000000002</v>
      </c>
      <c r="AM25" s="93">
        <v>35</v>
      </c>
      <c r="AN25" s="93">
        <v>30</v>
      </c>
      <c r="AO25" s="96">
        <f t="shared" si="14"/>
        <v>65</v>
      </c>
      <c r="AP25" s="106">
        <f>ROUND(AVERAGE(5-4*(AO25)/(AO9)),1)</f>
        <v>2.4</v>
      </c>
      <c r="AQ25" s="158">
        <f t="shared" si="15"/>
        <v>0.36</v>
      </c>
      <c r="AR25" s="93">
        <v>33</v>
      </c>
      <c r="AS25" s="93">
        <v>37</v>
      </c>
      <c r="AT25" s="96">
        <f t="shared" si="16"/>
        <v>70</v>
      </c>
      <c r="AU25" s="148">
        <f>ROUND(AVERAGE(5-4*(AT25)/(AT9)),1)</f>
        <v>2.2000000000000002</v>
      </c>
      <c r="AV25" s="149">
        <f t="shared" si="17"/>
        <v>0.33</v>
      </c>
      <c r="AW25" s="93">
        <v>92</v>
      </c>
      <c r="AX25" s="93">
        <v>95</v>
      </c>
      <c r="AY25" s="93">
        <v>87</v>
      </c>
      <c r="AZ25" s="93">
        <f t="shared" si="18"/>
        <v>274</v>
      </c>
      <c r="BA25" s="148">
        <f>ROUND(AVERAGE(5-4*(AZ25)/(AZ9)),1)</f>
        <v>1.3</v>
      </c>
      <c r="BB25" s="149">
        <f t="shared" si="19"/>
        <v>0.19500000000000001</v>
      </c>
      <c r="BC25" s="165">
        <v>27</v>
      </c>
      <c r="BD25" s="148">
        <f>5-(4*BC25/BC9)</f>
        <v>1</v>
      </c>
      <c r="BE25" s="149">
        <f t="shared" si="20"/>
        <v>0.1</v>
      </c>
      <c r="BF25" s="81">
        <v>33</v>
      </c>
      <c r="BG25" s="157">
        <f>ROUND(AVERAGE(5-4*(BF25)/(BF9)),1)</f>
        <v>3.1</v>
      </c>
      <c r="BH25" s="151">
        <f t="shared" si="21"/>
        <v>0.92999999999999994</v>
      </c>
      <c r="BI25" s="165">
        <f t="shared" si="26"/>
        <v>2.38</v>
      </c>
      <c r="BJ25" s="165">
        <f t="shared" si="22"/>
        <v>2.4400000000000004</v>
      </c>
      <c r="BK25" s="165">
        <f t="shared" si="23"/>
        <v>2.41</v>
      </c>
      <c r="BL25" s="81" t="s">
        <v>91</v>
      </c>
    </row>
    <row r="26" spans="1:64" s="20" customFormat="1" ht="15.75" customHeight="1" x14ac:dyDescent="0.3">
      <c r="A26" s="272">
        <v>16</v>
      </c>
      <c r="B26" s="273" t="s">
        <v>244</v>
      </c>
      <c r="C26" s="237" t="s">
        <v>245</v>
      </c>
      <c r="D26" s="86">
        <v>41</v>
      </c>
      <c r="E26" s="86">
        <v>35</v>
      </c>
      <c r="F26" s="93">
        <f t="shared" si="0"/>
        <v>76</v>
      </c>
      <c r="G26" s="266">
        <f>ROUND(AVERAGE(5-4*(F26)/(F9)),1)</f>
        <v>2</v>
      </c>
      <c r="H26" s="245">
        <f>G26*0.15</f>
        <v>0.3</v>
      </c>
      <c r="I26" s="256"/>
      <c r="J26" s="247"/>
      <c r="K26" s="78">
        <v>36</v>
      </c>
      <c r="L26" s="78">
        <v>37</v>
      </c>
      <c r="M26" s="81">
        <f t="shared" si="3"/>
        <v>73</v>
      </c>
      <c r="N26" s="266">
        <f>ROUND(AVERAGE(5-4*(M26)/(M9)),1)</f>
        <v>2.1</v>
      </c>
      <c r="O26" s="108">
        <f t="shared" si="24"/>
        <v>0.315</v>
      </c>
      <c r="P26" s="248" t="e">
        <f>ROUND(5-4*#REF!/10,1)</f>
        <v>#REF!</v>
      </c>
      <c r="Q26" s="249"/>
      <c r="R26" s="86">
        <v>43</v>
      </c>
      <c r="S26" s="86">
        <v>32</v>
      </c>
      <c r="T26" s="93">
        <f t="shared" si="4"/>
        <v>75</v>
      </c>
      <c r="U26" s="106">
        <f>ROUND(AVERAGE(5-4*(T26)/(T9)),1)</f>
        <v>2</v>
      </c>
      <c r="V26" s="108">
        <f t="shared" si="5"/>
        <v>0.3</v>
      </c>
      <c r="W26" s="86">
        <v>80</v>
      </c>
      <c r="X26" s="95">
        <v>80</v>
      </c>
      <c r="Y26" s="96">
        <f t="shared" si="6"/>
        <v>160</v>
      </c>
      <c r="Z26" s="106">
        <f>ROUND(AVERAGE(5-4*(Y26)/(Y9)),1)</f>
        <v>1.8</v>
      </c>
      <c r="AA26" s="108">
        <f t="shared" si="7"/>
        <v>0.27</v>
      </c>
      <c r="AB26" s="98">
        <v>27</v>
      </c>
      <c r="AC26" s="106">
        <f t="shared" si="8"/>
        <v>1</v>
      </c>
      <c r="AD26" s="108">
        <f t="shared" si="9"/>
        <v>0.1</v>
      </c>
      <c r="AE26" s="86">
        <v>23</v>
      </c>
      <c r="AF26" s="107">
        <f t="shared" si="10"/>
        <v>3.7</v>
      </c>
      <c r="AG26" s="108">
        <f t="shared" si="11"/>
        <v>1.1100000000000001</v>
      </c>
      <c r="AH26" s="96">
        <v>21</v>
      </c>
      <c r="AI26" s="93"/>
      <c r="AJ26" s="96">
        <f t="shared" si="12"/>
        <v>21</v>
      </c>
      <c r="AK26" s="106">
        <f>ROUND(AVERAGE(5-4*(AJ26)/(AJ9)),1)</f>
        <v>4.2</v>
      </c>
      <c r="AL26" s="108">
        <f t="shared" si="13"/>
        <v>0.63</v>
      </c>
      <c r="AM26" s="93">
        <v>37</v>
      </c>
      <c r="AN26" s="93">
        <v>40</v>
      </c>
      <c r="AO26" s="96">
        <f t="shared" si="14"/>
        <v>77</v>
      </c>
      <c r="AP26" s="106">
        <f>ROUND(AVERAGE(5-4*(AO26)/(AO9)),1)</f>
        <v>1.9</v>
      </c>
      <c r="AQ26" s="158">
        <f t="shared" si="15"/>
        <v>0.28499999999999998</v>
      </c>
      <c r="AR26" s="93">
        <v>30</v>
      </c>
      <c r="AS26" s="93">
        <v>40</v>
      </c>
      <c r="AT26" s="96">
        <f t="shared" si="16"/>
        <v>70</v>
      </c>
      <c r="AU26" s="148">
        <f>ROUND(AVERAGE(5-4*(AT26)/(AT9)),1)</f>
        <v>2.2000000000000002</v>
      </c>
      <c r="AV26" s="149">
        <f t="shared" si="17"/>
        <v>0.33</v>
      </c>
      <c r="AW26" s="93">
        <v>80</v>
      </c>
      <c r="AX26" s="93">
        <v>80</v>
      </c>
      <c r="AY26" s="93">
        <v>95</v>
      </c>
      <c r="AZ26" s="93">
        <f t="shared" si="18"/>
        <v>255</v>
      </c>
      <c r="BA26" s="148">
        <f>ROUND(AVERAGE(5-4*(AZ26)/(AZ9)),1)</f>
        <v>1.6</v>
      </c>
      <c r="BB26" s="149">
        <f t="shared" si="19"/>
        <v>0.24</v>
      </c>
      <c r="BC26" s="165">
        <v>27</v>
      </c>
      <c r="BD26" s="148">
        <f>5-(4*BC26/BC9)</f>
        <v>1</v>
      </c>
      <c r="BE26" s="149">
        <f t="shared" si="20"/>
        <v>0.1</v>
      </c>
      <c r="BF26" s="81">
        <v>25</v>
      </c>
      <c r="BG26" s="157">
        <f>ROUND(AVERAGE(5-4*(BF26)/(BF9)),1)</f>
        <v>3.6</v>
      </c>
      <c r="BH26" s="151">
        <f t="shared" si="21"/>
        <v>1.08</v>
      </c>
      <c r="BI26" s="165">
        <f t="shared" si="26"/>
        <v>2.3950000000000005</v>
      </c>
      <c r="BJ26" s="165">
        <f t="shared" si="22"/>
        <v>2.665</v>
      </c>
      <c r="BK26" s="165">
        <f t="shared" si="23"/>
        <v>2.5300000000000002</v>
      </c>
      <c r="BL26" s="81" t="s">
        <v>91</v>
      </c>
    </row>
    <row r="27" spans="1:64" s="20" customFormat="1" ht="15.75" customHeight="1" x14ac:dyDescent="0.3">
      <c r="A27" s="272">
        <v>17</v>
      </c>
      <c r="B27" s="273" t="s">
        <v>246</v>
      </c>
      <c r="C27" s="237" t="s">
        <v>247</v>
      </c>
      <c r="D27" s="86">
        <v>34</v>
      </c>
      <c r="E27" s="86">
        <v>39</v>
      </c>
      <c r="F27" s="93">
        <f t="shared" si="0"/>
        <v>73</v>
      </c>
      <c r="G27" s="266">
        <f>ROUND(AVERAGE(5-4*(F27)/(F9)),1)</f>
        <v>2.1</v>
      </c>
      <c r="H27" s="245">
        <f t="shared" ref="H27:H58" si="27">G27*0.15</f>
        <v>0.315</v>
      </c>
      <c r="I27" s="246">
        <v>28</v>
      </c>
      <c r="J27" s="247">
        <f t="shared" ref="J27:J41" si="28">ROUND(5-4*I27/30,1)</f>
        <v>1.3</v>
      </c>
      <c r="K27" s="78">
        <v>38</v>
      </c>
      <c r="L27" s="78">
        <v>35</v>
      </c>
      <c r="M27" s="81">
        <f t="shared" si="3"/>
        <v>73</v>
      </c>
      <c r="N27" s="266">
        <f>ROUND(AVERAGE(5-4*(M27)/(M9)),1)</f>
        <v>2.1</v>
      </c>
      <c r="O27" s="108">
        <f t="shared" si="24"/>
        <v>0.315</v>
      </c>
      <c r="P27" s="248" t="e">
        <f>ROUND(5-4*#REF!/10,1)</f>
        <v>#REF!</v>
      </c>
      <c r="Q27" s="249"/>
      <c r="R27" s="86">
        <v>35</v>
      </c>
      <c r="S27" s="86">
        <v>30</v>
      </c>
      <c r="T27" s="93">
        <f t="shared" si="4"/>
        <v>65</v>
      </c>
      <c r="U27" s="106">
        <f>ROUND(AVERAGE(5-4*(T27)/(T9)),1)</f>
        <v>2.4</v>
      </c>
      <c r="V27" s="108">
        <f t="shared" si="5"/>
        <v>0.36</v>
      </c>
      <c r="W27" s="86">
        <v>88</v>
      </c>
      <c r="X27" s="95">
        <v>80</v>
      </c>
      <c r="Y27" s="96">
        <f t="shared" si="6"/>
        <v>168</v>
      </c>
      <c r="Z27" s="106">
        <f>ROUND(AVERAGE(5-4*(Y27)/(Y9)),1)</f>
        <v>1.6</v>
      </c>
      <c r="AA27" s="108">
        <f t="shared" si="7"/>
        <v>0.24</v>
      </c>
      <c r="AB27" s="98">
        <v>27</v>
      </c>
      <c r="AC27" s="106">
        <v>5</v>
      </c>
      <c r="AD27" s="108">
        <f t="shared" si="9"/>
        <v>0.5</v>
      </c>
      <c r="AE27" s="86">
        <v>33</v>
      </c>
      <c r="AF27" s="107">
        <f t="shared" si="10"/>
        <v>3.1</v>
      </c>
      <c r="AG27" s="108">
        <f t="shared" si="11"/>
        <v>0.92999999999999994</v>
      </c>
      <c r="AH27" s="96">
        <v>26</v>
      </c>
      <c r="AI27" s="93">
        <v>24</v>
      </c>
      <c r="AJ27" s="96">
        <f t="shared" si="12"/>
        <v>50</v>
      </c>
      <c r="AK27" s="106">
        <f>ROUND(AVERAGE(5-4*(AJ27)/(AJ9)),1)</f>
        <v>3</v>
      </c>
      <c r="AL27" s="108">
        <f t="shared" si="13"/>
        <v>0.44999999999999996</v>
      </c>
      <c r="AM27" s="93">
        <v>30</v>
      </c>
      <c r="AN27" s="93">
        <v>34</v>
      </c>
      <c r="AO27" s="96">
        <f t="shared" si="14"/>
        <v>64</v>
      </c>
      <c r="AP27" s="106">
        <f>ROUND(AVERAGE(5-4*(AO27)/(AO9)),1)</f>
        <v>2.4</v>
      </c>
      <c r="AQ27" s="158">
        <f t="shared" si="15"/>
        <v>0.36</v>
      </c>
      <c r="AR27" s="93">
        <v>35</v>
      </c>
      <c r="AS27" s="93">
        <v>32</v>
      </c>
      <c r="AT27" s="96">
        <f>SUM(AR27+AS27)</f>
        <v>67</v>
      </c>
      <c r="AU27" s="148">
        <f>ROUND(AVERAGE(5-4*(AT27)/(AT9)),1)</f>
        <v>2.2999999999999998</v>
      </c>
      <c r="AV27" s="149">
        <f t="shared" si="17"/>
        <v>0.34499999999999997</v>
      </c>
      <c r="AW27" s="93">
        <v>88</v>
      </c>
      <c r="AX27" s="93">
        <v>89</v>
      </c>
      <c r="AY27" s="93">
        <v>90</v>
      </c>
      <c r="AZ27" s="93">
        <f t="shared" si="18"/>
        <v>267</v>
      </c>
      <c r="BA27" s="148">
        <f>ROUND(AVERAGE(5-4*(AZ27)/(AZ9)),1)</f>
        <v>1.4</v>
      </c>
      <c r="BB27" s="149">
        <f t="shared" si="19"/>
        <v>0.21</v>
      </c>
      <c r="BC27" s="165">
        <v>27</v>
      </c>
      <c r="BD27" s="148">
        <f>5-(4*BC27/BC9)</f>
        <v>1</v>
      </c>
      <c r="BE27" s="149">
        <f t="shared" si="20"/>
        <v>0.1</v>
      </c>
      <c r="BF27" s="81">
        <v>42</v>
      </c>
      <c r="BG27" s="157">
        <f>ROUND(AVERAGE(5-4*(BF27)/(BF9)),1)</f>
        <v>2.6</v>
      </c>
      <c r="BH27" s="151">
        <f t="shared" si="21"/>
        <v>0.78</v>
      </c>
      <c r="BI27" s="165">
        <f t="shared" si="26"/>
        <v>2.66</v>
      </c>
      <c r="BJ27" s="165">
        <f t="shared" si="22"/>
        <v>2.2450000000000001</v>
      </c>
      <c r="BK27" s="165">
        <f t="shared" si="23"/>
        <v>2.4525000000000001</v>
      </c>
      <c r="BL27" s="81" t="s">
        <v>91</v>
      </c>
    </row>
    <row r="28" spans="1:64" s="20" customFormat="1" ht="15" customHeight="1" x14ac:dyDescent="0.3">
      <c r="A28" s="327">
        <v>18</v>
      </c>
      <c r="B28" s="328" t="s">
        <v>248</v>
      </c>
      <c r="C28" s="329" t="s">
        <v>249</v>
      </c>
      <c r="D28" s="330">
        <v>40</v>
      </c>
      <c r="E28" s="330">
        <v>28</v>
      </c>
      <c r="F28" s="331">
        <f t="shared" si="0"/>
        <v>68</v>
      </c>
      <c r="G28" s="332">
        <f>ROUND(AVERAGE(5-4*(F28)/(F9)),1)</f>
        <v>2.2999999999999998</v>
      </c>
      <c r="H28" s="333">
        <f t="shared" si="27"/>
        <v>0.34499999999999997</v>
      </c>
      <c r="I28" s="373">
        <v>30</v>
      </c>
      <c r="J28" s="374">
        <f t="shared" si="28"/>
        <v>1</v>
      </c>
      <c r="K28" s="335">
        <v>40</v>
      </c>
      <c r="L28" s="335">
        <v>36</v>
      </c>
      <c r="M28" s="336">
        <f t="shared" si="3"/>
        <v>76</v>
      </c>
      <c r="N28" s="332">
        <f>ROUND(AVERAGE(5-4*(M28)/(M9)),1)</f>
        <v>2</v>
      </c>
      <c r="O28" s="337">
        <f t="shared" si="24"/>
        <v>0.3</v>
      </c>
      <c r="P28" s="375" t="e">
        <f>ROUND(5-4*#REF!/10,1)</f>
        <v>#REF!</v>
      </c>
      <c r="Q28" s="376"/>
      <c r="R28" s="330">
        <v>40</v>
      </c>
      <c r="S28" s="330">
        <v>30</v>
      </c>
      <c r="T28" s="331">
        <f t="shared" si="4"/>
        <v>70</v>
      </c>
      <c r="U28" s="341">
        <f>ROUND(AVERAGE(5-4*(T28)/(T9)),1)</f>
        <v>2.2000000000000002</v>
      </c>
      <c r="V28" s="337">
        <f t="shared" si="5"/>
        <v>0.33</v>
      </c>
      <c r="W28" s="330">
        <v>75</v>
      </c>
      <c r="X28" s="339">
        <v>70</v>
      </c>
      <c r="Y28" s="340">
        <f t="shared" si="6"/>
        <v>145</v>
      </c>
      <c r="Z28" s="341">
        <f>ROUND(AVERAGE(5-4*(Y28)/(Y9)),1)</f>
        <v>2.1</v>
      </c>
      <c r="AA28" s="337">
        <f t="shared" si="7"/>
        <v>0.315</v>
      </c>
      <c r="AB28" s="342">
        <v>22.5</v>
      </c>
      <c r="AC28" s="341">
        <f t="shared" si="8"/>
        <v>1.6666666666666665</v>
      </c>
      <c r="AD28" s="337">
        <f t="shared" si="9"/>
        <v>0.16666666666666666</v>
      </c>
      <c r="AE28" s="330">
        <v>16</v>
      </c>
      <c r="AF28" s="343">
        <f t="shared" si="10"/>
        <v>4.0999999999999996</v>
      </c>
      <c r="AG28" s="337">
        <f t="shared" si="11"/>
        <v>1.2299999999999998</v>
      </c>
      <c r="AH28" s="340">
        <v>10</v>
      </c>
      <c r="AI28" s="331">
        <v>21</v>
      </c>
      <c r="AJ28" s="340">
        <f t="shared" si="12"/>
        <v>31</v>
      </c>
      <c r="AK28" s="341">
        <f>ROUND(AVERAGE(5-4*(AJ28)/(AJ9)),1)</f>
        <v>3.8</v>
      </c>
      <c r="AL28" s="337">
        <f t="shared" si="13"/>
        <v>0.56999999999999995</v>
      </c>
      <c r="AM28" s="331">
        <v>31</v>
      </c>
      <c r="AN28" s="331">
        <v>30</v>
      </c>
      <c r="AO28" s="340">
        <f t="shared" si="14"/>
        <v>61</v>
      </c>
      <c r="AP28" s="341">
        <f>ROUND(AVERAGE(5-4*(AO28)/(AO9)),1)</f>
        <v>2.6</v>
      </c>
      <c r="AQ28" s="344">
        <f t="shared" si="15"/>
        <v>0.39</v>
      </c>
      <c r="AR28" s="331"/>
      <c r="AS28" s="331"/>
      <c r="AT28" s="340"/>
      <c r="AU28" s="345">
        <f>ROUND(AVERAGE(5-4*(AT28)/(AT9)),1)</f>
        <v>5</v>
      </c>
      <c r="AV28" s="346">
        <f t="shared" si="17"/>
        <v>0.75</v>
      </c>
      <c r="AW28" s="331"/>
      <c r="AX28" s="331"/>
      <c r="AY28" s="331"/>
      <c r="AZ28" s="331"/>
      <c r="BA28" s="345">
        <f>ROUND(AVERAGE(5-4*(AZ28)/(AZ9)),1)</f>
        <v>5</v>
      </c>
      <c r="BB28" s="346">
        <f t="shared" si="19"/>
        <v>0.75</v>
      </c>
      <c r="BC28" s="336">
        <v>19.5</v>
      </c>
      <c r="BD28" s="345">
        <f>5-(4*BC28/BC9)</f>
        <v>2.1111111111111112</v>
      </c>
      <c r="BE28" s="346">
        <f t="shared" si="20"/>
        <v>0.21111111111111114</v>
      </c>
      <c r="BF28" s="336">
        <v>16</v>
      </c>
      <c r="BG28" s="349">
        <f>ROUND(AVERAGE(5-4*(BF28)/(BF9)),1)</f>
        <v>4.0999999999999996</v>
      </c>
      <c r="BH28" s="346">
        <f t="shared" si="21"/>
        <v>1.2299999999999998</v>
      </c>
      <c r="BI28" s="348">
        <f t="shared" si="26"/>
        <v>2.6866666666666665</v>
      </c>
      <c r="BJ28" s="348" t="s">
        <v>93</v>
      </c>
      <c r="BK28" s="348" t="s">
        <v>92</v>
      </c>
      <c r="BL28" s="336" t="s">
        <v>94</v>
      </c>
    </row>
    <row r="29" spans="1:64" s="20" customFormat="1" ht="15.75" customHeight="1" x14ac:dyDescent="0.3">
      <c r="A29" s="272">
        <v>19</v>
      </c>
      <c r="B29" s="273" t="s">
        <v>250</v>
      </c>
      <c r="C29" s="237" t="s">
        <v>251</v>
      </c>
      <c r="D29" s="86">
        <v>41</v>
      </c>
      <c r="E29" s="86">
        <v>20</v>
      </c>
      <c r="F29" s="93">
        <f t="shared" si="0"/>
        <v>61</v>
      </c>
      <c r="G29" s="266">
        <f>ROUND(AVERAGE(5-4*(F29)/(F9)),1)</f>
        <v>2.6</v>
      </c>
      <c r="H29" s="245">
        <f t="shared" si="27"/>
        <v>0.39</v>
      </c>
      <c r="I29" s="246">
        <v>25</v>
      </c>
      <c r="J29" s="247">
        <f t="shared" si="28"/>
        <v>1.7</v>
      </c>
      <c r="K29" s="78">
        <v>40</v>
      </c>
      <c r="L29" s="78">
        <v>36</v>
      </c>
      <c r="M29" s="81">
        <f t="shared" si="3"/>
        <v>76</v>
      </c>
      <c r="N29" s="266">
        <f>ROUND(AVERAGE(5-4*(M29)/(M9)),1)</f>
        <v>2</v>
      </c>
      <c r="O29" s="108">
        <f t="shared" si="24"/>
        <v>0.3</v>
      </c>
      <c r="P29" s="248" t="e">
        <f>ROUND(5-4*#REF!/10,1)</f>
        <v>#REF!</v>
      </c>
      <c r="Q29" s="249"/>
      <c r="R29" s="86">
        <v>28</v>
      </c>
      <c r="S29" s="86">
        <v>29</v>
      </c>
      <c r="T29" s="93">
        <f t="shared" si="4"/>
        <v>57</v>
      </c>
      <c r="U29" s="106">
        <f>ROUND(AVERAGE(5-4*(T29)/(T9)),1)</f>
        <v>2.7</v>
      </c>
      <c r="V29" s="108">
        <f t="shared" si="5"/>
        <v>0.40500000000000003</v>
      </c>
      <c r="W29" s="86">
        <v>87</v>
      </c>
      <c r="X29" s="95">
        <v>80</v>
      </c>
      <c r="Y29" s="96">
        <f t="shared" si="6"/>
        <v>167</v>
      </c>
      <c r="Z29" s="106">
        <f>ROUND(AVERAGE(5-4*(Y29)/(Y9)),1)</f>
        <v>1.7</v>
      </c>
      <c r="AA29" s="108">
        <f t="shared" si="7"/>
        <v>0.255</v>
      </c>
      <c r="AB29" s="98">
        <v>27</v>
      </c>
      <c r="AC29" s="106">
        <f t="shared" si="8"/>
        <v>1</v>
      </c>
      <c r="AD29" s="108">
        <f t="shared" si="9"/>
        <v>0.1</v>
      </c>
      <c r="AE29" s="86">
        <v>39</v>
      </c>
      <c r="AF29" s="107">
        <f t="shared" si="10"/>
        <v>2.8</v>
      </c>
      <c r="AG29" s="108">
        <f t="shared" si="11"/>
        <v>0.84</v>
      </c>
      <c r="AH29" s="96">
        <v>6</v>
      </c>
      <c r="AI29" s="93">
        <v>18</v>
      </c>
      <c r="AJ29" s="96">
        <f t="shared" si="12"/>
        <v>24</v>
      </c>
      <c r="AK29" s="106">
        <f>ROUND(AVERAGE(5-4*(AJ29)/(AJ9)),1)</f>
        <v>4</v>
      </c>
      <c r="AL29" s="108">
        <f t="shared" si="13"/>
        <v>0.6</v>
      </c>
      <c r="AM29" s="93">
        <v>30</v>
      </c>
      <c r="AN29" s="93">
        <v>30</v>
      </c>
      <c r="AO29" s="96">
        <f t="shared" si="14"/>
        <v>60</v>
      </c>
      <c r="AP29" s="106">
        <f>ROUND(AVERAGE(5-4*(AO29)/(AO9)),1)</f>
        <v>2.6</v>
      </c>
      <c r="AQ29" s="158">
        <f t="shared" si="15"/>
        <v>0.39</v>
      </c>
      <c r="AR29" s="93">
        <v>35</v>
      </c>
      <c r="AS29" s="93">
        <v>40</v>
      </c>
      <c r="AT29" s="96">
        <f t="shared" si="16"/>
        <v>75</v>
      </c>
      <c r="AU29" s="148">
        <f>ROUND(AVERAGE(5-4*(AT29)/(AT9)),1)</f>
        <v>2</v>
      </c>
      <c r="AV29" s="149">
        <f>AU29*0.15</f>
        <v>0.3</v>
      </c>
      <c r="AW29" s="93">
        <v>85</v>
      </c>
      <c r="AX29" s="93">
        <v>85</v>
      </c>
      <c r="AY29" s="93">
        <v>90</v>
      </c>
      <c r="AZ29" s="93">
        <f t="shared" si="18"/>
        <v>260</v>
      </c>
      <c r="BA29" s="148">
        <f>ROUND(AVERAGE(5-4*(AZ29)/(AZ9)),1)</f>
        <v>1.5</v>
      </c>
      <c r="BB29" s="149">
        <f t="shared" si="19"/>
        <v>0.22499999999999998</v>
      </c>
      <c r="BC29" s="81">
        <v>25.5</v>
      </c>
      <c r="BD29" s="148">
        <f>5-(4*BC29/BC9)</f>
        <v>1.2222222222222223</v>
      </c>
      <c r="BE29" s="149">
        <f t="shared" si="20"/>
        <v>0.12222222222222223</v>
      </c>
      <c r="BF29" s="81">
        <v>23</v>
      </c>
      <c r="BG29" s="157">
        <f>ROUND(AVERAGE(5-4*(BF29)/(BF9)),1)</f>
        <v>3.7</v>
      </c>
      <c r="BH29" s="151">
        <f t="shared" si="21"/>
        <v>1.1100000000000001</v>
      </c>
      <c r="BI29" s="165">
        <f t="shared" si="26"/>
        <v>2.29</v>
      </c>
      <c r="BJ29" s="165">
        <f t="shared" si="22"/>
        <v>2.7472222222222227</v>
      </c>
      <c r="BK29" s="165">
        <f t="shared" si="23"/>
        <v>2.5186111111111114</v>
      </c>
      <c r="BL29" s="81" t="s">
        <v>91</v>
      </c>
    </row>
    <row r="30" spans="1:64" s="20" customFormat="1" ht="15" customHeight="1" x14ac:dyDescent="0.3">
      <c r="A30" s="272">
        <v>20</v>
      </c>
      <c r="B30" s="273" t="s">
        <v>252</v>
      </c>
      <c r="C30" s="237" t="s">
        <v>253</v>
      </c>
      <c r="D30" s="202">
        <v>43</v>
      </c>
      <c r="E30" s="202">
        <v>31</v>
      </c>
      <c r="F30" s="207">
        <f t="shared" si="0"/>
        <v>74</v>
      </c>
      <c r="G30" s="267">
        <f>ROUND(AVERAGE(5-4*(F30)/(F9)),1)</f>
        <v>2</v>
      </c>
      <c r="H30" s="251">
        <f t="shared" si="27"/>
        <v>0.3</v>
      </c>
      <c r="I30" s="252">
        <v>30</v>
      </c>
      <c r="J30" s="253">
        <f t="shared" si="28"/>
        <v>1</v>
      </c>
      <c r="K30" s="205">
        <v>35</v>
      </c>
      <c r="L30" s="205">
        <v>33</v>
      </c>
      <c r="M30" s="206">
        <f t="shared" si="3"/>
        <v>68</v>
      </c>
      <c r="N30" s="267">
        <f>ROUND(AVERAGE(5-4*(M30)/(M9)),1)</f>
        <v>2.2999999999999998</v>
      </c>
      <c r="O30" s="212">
        <f t="shared" si="24"/>
        <v>0.34499999999999997</v>
      </c>
      <c r="P30" s="254" t="e">
        <f>ROUND(5-4*#REF!/10,1)</f>
        <v>#REF!</v>
      </c>
      <c r="Q30" s="255"/>
      <c r="R30" s="202">
        <v>35</v>
      </c>
      <c r="S30" s="202">
        <v>30</v>
      </c>
      <c r="T30" s="207">
        <f t="shared" si="4"/>
        <v>65</v>
      </c>
      <c r="U30" s="209">
        <f>ROUND(AVERAGE(5-4*(T30)/(T9)),1)</f>
        <v>2.4</v>
      </c>
      <c r="V30" s="212">
        <f t="shared" si="5"/>
        <v>0.36</v>
      </c>
      <c r="W30" s="202">
        <v>85</v>
      </c>
      <c r="X30" s="208">
        <v>90</v>
      </c>
      <c r="Y30" s="203">
        <f t="shared" si="6"/>
        <v>175</v>
      </c>
      <c r="Z30" s="209">
        <f>ROUND(AVERAGE(5-4*(Y30)/(Y9)),1)</f>
        <v>1.5</v>
      </c>
      <c r="AA30" s="212">
        <f t="shared" si="7"/>
        <v>0.22499999999999998</v>
      </c>
      <c r="AB30" s="98">
        <v>27</v>
      </c>
      <c r="AC30" s="209">
        <f t="shared" si="8"/>
        <v>1</v>
      </c>
      <c r="AD30" s="212">
        <f t="shared" si="9"/>
        <v>0.1</v>
      </c>
      <c r="AE30" s="202">
        <v>38</v>
      </c>
      <c r="AF30" s="211">
        <f t="shared" si="10"/>
        <v>2.8</v>
      </c>
      <c r="AG30" s="212">
        <f t="shared" si="11"/>
        <v>0.84</v>
      </c>
      <c r="AH30" s="203">
        <v>19</v>
      </c>
      <c r="AI30" s="207">
        <v>22</v>
      </c>
      <c r="AJ30" s="96">
        <f t="shared" si="12"/>
        <v>41</v>
      </c>
      <c r="AK30" s="209">
        <f>ROUND(AVERAGE(5-4*(AJ30)/(AJ9)),1)</f>
        <v>3.4</v>
      </c>
      <c r="AL30" s="212">
        <f t="shared" si="13"/>
        <v>0.51</v>
      </c>
      <c r="AM30" s="207">
        <v>35</v>
      </c>
      <c r="AN30" s="207">
        <v>34</v>
      </c>
      <c r="AO30" s="96">
        <f t="shared" si="14"/>
        <v>69</v>
      </c>
      <c r="AP30" s="209">
        <f>ROUND(AVERAGE(5-4*(AO30)/(AO9)),1)</f>
        <v>2.2000000000000002</v>
      </c>
      <c r="AQ30" s="215">
        <f t="shared" si="15"/>
        <v>0.33</v>
      </c>
      <c r="AR30" s="207">
        <v>37</v>
      </c>
      <c r="AS30" s="207">
        <v>45</v>
      </c>
      <c r="AT30" s="96">
        <f t="shared" si="16"/>
        <v>82</v>
      </c>
      <c r="AU30" s="213">
        <f>ROUND(AVERAGE(5-4*(AT30)/(AT9)),1)</f>
        <v>1.7</v>
      </c>
      <c r="AV30" s="214">
        <f t="shared" si="17"/>
        <v>0.255</v>
      </c>
      <c r="AW30" s="207">
        <v>80</v>
      </c>
      <c r="AX30" s="207">
        <v>82</v>
      </c>
      <c r="AY30" s="207">
        <v>95</v>
      </c>
      <c r="AZ30" s="93">
        <f t="shared" si="18"/>
        <v>257</v>
      </c>
      <c r="BA30" s="213">
        <f>ROUND(AVERAGE(5-4*(AZ30)/(AZ9)),1)</f>
        <v>1.6</v>
      </c>
      <c r="BB30" s="214">
        <f t="shared" si="19"/>
        <v>0.24</v>
      </c>
      <c r="BC30" s="165">
        <v>27</v>
      </c>
      <c r="BD30" s="213">
        <f>5-(4*BC30/BC9)</f>
        <v>1</v>
      </c>
      <c r="BE30" s="214">
        <f t="shared" si="20"/>
        <v>0.1</v>
      </c>
      <c r="BF30" s="206">
        <v>36</v>
      </c>
      <c r="BG30" s="217">
        <f>ROUND(AVERAGE(5-4*(BF30)/(BF9)),1)</f>
        <v>2.9</v>
      </c>
      <c r="BH30" s="214">
        <f t="shared" si="21"/>
        <v>0.87</v>
      </c>
      <c r="BI30" s="165">
        <f t="shared" si="26"/>
        <v>2.17</v>
      </c>
      <c r="BJ30" s="165">
        <f t="shared" si="22"/>
        <v>2.3050000000000002</v>
      </c>
      <c r="BK30" s="165">
        <f>(BI30*1/2)+(BJ30*1/2)</f>
        <v>2.2374999999999998</v>
      </c>
      <c r="BL30" s="81" t="s">
        <v>91</v>
      </c>
    </row>
    <row r="31" spans="1:64" s="20" customFormat="1" ht="15" customHeight="1" x14ac:dyDescent="0.3">
      <c r="A31" s="327">
        <v>21</v>
      </c>
      <c r="B31" s="328" t="s">
        <v>254</v>
      </c>
      <c r="C31" s="329" t="s">
        <v>255</v>
      </c>
      <c r="D31" s="330"/>
      <c r="E31" s="330"/>
      <c r="F31" s="331"/>
      <c r="G31" s="332">
        <f>ROUND(AVERAGE(5-4*(F31)/(F9)),1)</f>
        <v>5</v>
      </c>
      <c r="H31" s="333">
        <f t="shared" si="27"/>
        <v>0.75</v>
      </c>
      <c r="I31" s="373">
        <v>26</v>
      </c>
      <c r="J31" s="374">
        <f t="shared" si="28"/>
        <v>1.5</v>
      </c>
      <c r="K31" s="335"/>
      <c r="L31" s="335"/>
      <c r="M31" s="336"/>
      <c r="N31" s="332">
        <f>ROUND(AVERAGE(5-4*(M31)/(M9)),1)</f>
        <v>5</v>
      </c>
      <c r="O31" s="337">
        <f t="shared" si="24"/>
        <v>0.75</v>
      </c>
      <c r="P31" s="375" t="e">
        <f>ROUND(5-4*#REF!/10,1)</f>
        <v>#REF!</v>
      </c>
      <c r="Q31" s="376"/>
      <c r="R31" s="330"/>
      <c r="S31" s="330"/>
      <c r="T31" s="331"/>
      <c r="U31" s="341">
        <f>ROUND(AVERAGE(5-4*(T31)/(T9)),1)</f>
        <v>5</v>
      </c>
      <c r="V31" s="337">
        <f t="shared" si="5"/>
        <v>0.75</v>
      </c>
      <c r="W31" s="330"/>
      <c r="X31" s="339"/>
      <c r="Y31" s="340"/>
      <c r="Z31" s="341">
        <f>ROUND(AVERAGE(5-4*(Y31)/(Y9)),1)</f>
        <v>5</v>
      </c>
      <c r="AA31" s="337">
        <f t="shared" si="7"/>
        <v>0.75</v>
      </c>
      <c r="AB31" s="342"/>
      <c r="AC31" s="341">
        <f t="shared" si="8"/>
        <v>5</v>
      </c>
      <c r="AD31" s="337">
        <f>AC31*0.1</f>
        <v>0.5</v>
      </c>
      <c r="AE31" s="330"/>
      <c r="AF31" s="343">
        <f t="shared" si="10"/>
        <v>5</v>
      </c>
      <c r="AG31" s="337">
        <f>AF31*0.3</f>
        <v>1.5</v>
      </c>
      <c r="AH31" s="340"/>
      <c r="AI31" s="331"/>
      <c r="AJ31" s="340"/>
      <c r="AK31" s="341">
        <f>ROUND(AVERAGE(5-4*(AJ31)/(AJ9)),1)</f>
        <v>5</v>
      </c>
      <c r="AL31" s="337">
        <f t="shared" si="13"/>
        <v>0.75</v>
      </c>
      <c r="AM31" s="331"/>
      <c r="AN31" s="331"/>
      <c r="AO31" s="340"/>
      <c r="AP31" s="341">
        <f>ROUND(AVERAGE(5-4*(AO31)/(AO9)),1)</f>
        <v>5</v>
      </c>
      <c r="AQ31" s="344">
        <f t="shared" si="15"/>
        <v>0.75</v>
      </c>
      <c r="AR31" s="331"/>
      <c r="AS31" s="331"/>
      <c r="AT31" s="340"/>
      <c r="AU31" s="345">
        <f>ROUND(AVERAGE(5-4*(AT31)/(AT9)),1)</f>
        <v>5</v>
      </c>
      <c r="AV31" s="346">
        <f t="shared" si="17"/>
        <v>0.75</v>
      </c>
      <c r="AW31" s="331"/>
      <c r="AX31" s="331"/>
      <c r="AY31" s="331"/>
      <c r="AZ31" s="331"/>
      <c r="BA31" s="345">
        <f>ROUND(AVERAGE(5-4*(AZ31)/(AZ9)),1)</f>
        <v>5</v>
      </c>
      <c r="BB31" s="346">
        <f t="shared" si="19"/>
        <v>0.75</v>
      </c>
      <c r="BC31" s="336"/>
      <c r="BD31" s="345">
        <f>5-(4*BC31/BC9)</f>
        <v>5</v>
      </c>
      <c r="BE31" s="346">
        <f t="shared" si="20"/>
        <v>0.5</v>
      </c>
      <c r="BF31" s="336"/>
      <c r="BG31" s="349">
        <f>ROUND(AVERAGE(5-4*(BF31)/(BF9)),1)</f>
        <v>5</v>
      </c>
      <c r="BH31" s="346">
        <f t="shared" si="21"/>
        <v>1.5</v>
      </c>
      <c r="BI31" s="348" t="s">
        <v>93</v>
      </c>
      <c r="BJ31" s="348" t="s">
        <v>93</v>
      </c>
      <c r="BK31" s="348" t="s">
        <v>95</v>
      </c>
      <c r="BL31" s="399">
        <v>45911</v>
      </c>
    </row>
    <row r="32" spans="1:64" s="20" customFormat="1" ht="15" customHeight="1" x14ac:dyDescent="0.3">
      <c r="A32" s="272">
        <v>22</v>
      </c>
      <c r="B32" s="273" t="s">
        <v>256</v>
      </c>
      <c r="C32" s="237" t="s">
        <v>257</v>
      </c>
      <c r="D32" s="202">
        <v>37</v>
      </c>
      <c r="E32" s="202">
        <v>29</v>
      </c>
      <c r="F32" s="207">
        <f t="shared" si="0"/>
        <v>66</v>
      </c>
      <c r="G32" s="267">
        <f>ROUND(AVERAGE(5-4*(F32)/(F9)),1)</f>
        <v>2.4</v>
      </c>
      <c r="H32" s="251">
        <f t="shared" si="27"/>
        <v>0.36</v>
      </c>
      <c r="I32" s="252">
        <v>25</v>
      </c>
      <c r="J32" s="253">
        <f t="shared" si="28"/>
        <v>1.7</v>
      </c>
      <c r="K32" s="205">
        <v>38</v>
      </c>
      <c r="L32" s="205">
        <v>33</v>
      </c>
      <c r="M32" s="206">
        <f t="shared" si="3"/>
        <v>71</v>
      </c>
      <c r="N32" s="267">
        <f>ROUND(AVERAGE(5-4*(M32)/(M9)),1)</f>
        <v>2.2000000000000002</v>
      </c>
      <c r="O32" s="212">
        <f t="shared" si="24"/>
        <v>0.33</v>
      </c>
      <c r="P32" s="254" t="e">
        <f>ROUND(5-4*#REF!/10,1)</f>
        <v>#REF!</v>
      </c>
      <c r="Q32" s="255"/>
      <c r="R32" s="202">
        <v>32</v>
      </c>
      <c r="S32" s="202">
        <v>29</v>
      </c>
      <c r="T32" s="207">
        <f t="shared" si="4"/>
        <v>61</v>
      </c>
      <c r="U32" s="209">
        <f>ROUND(AVERAGE(5-4*(T32)/(T9)),1)</f>
        <v>2.6</v>
      </c>
      <c r="V32" s="212">
        <f t="shared" si="5"/>
        <v>0.39</v>
      </c>
      <c r="W32" s="202">
        <v>85</v>
      </c>
      <c r="X32" s="208">
        <v>92</v>
      </c>
      <c r="Y32" s="203">
        <f t="shared" si="6"/>
        <v>177</v>
      </c>
      <c r="Z32" s="209">
        <f>ROUND(AVERAGE(5-4*(Y32)/(Y9)),1)</f>
        <v>1.5</v>
      </c>
      <c r="AA32" s="212">
        <f t="shared" si="7"/>
        <v>0.22499999999999998</v>
      </c>
      <c r="AB32" s="218">
        <v>25.5</v>
      </c>
      <c r="AC32" s="209">
        <f t="shared" si="8"/>
        <v>1.2222222222222223</v>
      </c>
      <c r="AD32" s="212">
        <f t="shared" si="9"/>
        <v>0.12222222222222223</v>
      </c>
      <c r="AE32" s="202">
        <v>31</v>
      </c>
      <c r="AF32" s="211">
        <f t="shared" si="10"/>
        <v>3.2</v>
      </c>
      <c r="AG32" s="212">
        <f t="shared" si="11"/>
        <v>0.96</v>
      </c>
      <c r="AH32" s="203">
        <v>10</v>
      </c>
      <c r="AI32" s="207">
        <v>23</v>
      </c>
      <c r="AJ32" s="203">
        <f t="shared" si="12"/>
        <v>33</v>
      </c>
      <c r="AK32" s="209">
        <f>ROUND(AVERAGE(5-4*(AJ32)/(AJ9)),1)</f>
        <v>3.7</v>
      </c>
      <c r="AL32" s="212">
        <f t="shared" si="13"/>
        <v>0.55500000000000005</v>
      </c>
      <c r="AM32" s="207">
        <v>34</v>
      </c>
      <c r="AN32" s="207">
        <v>30</v>
      </c>
      <c r="AO32" s="96">
        <f t="shared" si="14"/>
        <v>64</v>
      </c>
      <c r="AP32" s="209">
        <f>ROUND(AVERAGE(5-4*(AO32)/(AO9)),1)</f>
        <v>2.4</v>
      </c>
      <c r="AQ32" s="215">
        <f t="shared" si="15"/>
        <v>0.36</v>
      </c>
      <c r="AR32" s="207">
        <v>28</v>
      </c>
      <c r="AS32" s="207">
        <v>30</v>
      </c>
      <c r="AT32" s="203">
        <f t="shared" si="16"/>
        <v>58</v>
      </c>
      <c r="AU32" s="213">
        <f>ROUND(AVERAGE(5-4*(AT32)/(AT9)),1)</f>
        <v>2.7</v>
      </c>
      <c r="AV32" s="214">
        <f t="shared" si="17"/>
        <v>0.40500000000000003</v>
      </c>
      <c r="AW32" s="207">
        <v>85</v>
      </c>
      <c r="AX32" s="207">
        <v>85</v>
      </c>
      <c r="AY32" s="207">
        <v>85</v>
      </c>
      <c r="AZ32" s="207">
        <f t="shared" si="18"/>
        <v>255</v>
      </c>
      <c r="BA32" s="213">
        <f>ROUND(AVERAGE(5-4*(AZ32)/(AZ9)),1)</f>
        <v>1.6</v>
      </c>
      <c r="BB32" s="214">
        <f t="shared" si="19"/>
        <v>0.24</v>
      </c>
      <c r="BC32" s="216">
        <v>24</v>
      </c>
      <c r="BD32" s="213">
        <f>5-(4*BC32/BC9)</f>
        <v>1.4444444444444446</v>
      </c>
      <c r="BE32" s="214">
        <f t="shared" si="20"/>
        <v>0.14444444444444446</v>
      </c>
      <c r="BF32" s="206">
        <v>33</v>
      </c>
      <c r="BG32" s="217">
        <f>ROUND(AVERAGE(5-4*(BF32)/(BF9)),1)</f>
        <v>3.1</v>
      </c>
      <c r="BH32" s="242">
        <f t="shared" si="21"/>
        <v>0.92999999999999994</v>
      </c>
      <c r="BI32" s="216">
        <f t="shared" si="26"/>
        <v>2.3872222222222224</v>
      </c>
      <c r="BJ32" s="216">
        <f t="shared" si="22"/>
        <v>2.6344444444444441</v>
      </c>
      <c r="BK32" s="216">
        <f t="shared" si="23"/>
        <v>2.5108333333333333</v>
      </c>
      <c r="BL32" s="206" t="s">
        <v>91</v>
      </c>
    </row>
    <row r="33" spans="1:64" s="20" customFormat="1" ht="15" customHeight="1" x14ac:dyDescent="0.3">
      <c r="A33" s="272">
        <v>23</v>
      </c>
      <c r="B33" s="273" t="s">
        <v>258</v>
      </c>
      <c r="C33" s="237" t="s">
        <v>259</v>
      </c>
      <c r="D33" s="202">
        <v>36</v>
      </c>
      <c r="E33" s="202">
        <v>32</v>
      </c>
      <c r="F33" s="207">
        <f>SUM(D33+E33)</f>
        <v>68</v>
      </c>
      <c r="G33" s="267">
        <f>ROUND(AVERAGE(5-4*(F33)/(F9)),1)</f>
        <v>2.2999999999999998</v>
      </c>
      <c r="H33" s="251">
        <f t="shared" si="27"/>
        <v>0.34499999999999997</v>
      </c>
      <c r="I33" s="252">
        <v>26</v>
      </c>
      <c r="J33" s="253">
        <f t="shared" si="28"/>
        <v>1.5</v>
      </c>
      <c r="K33" s="205">
        <v>30</v>
      </c>
      <c r="L33" s="205">
        <v>33</v>
      </c>
      <c r="M33" s="206">
        <f t="shared" si="3"/>
        <v>63</v>
      </c>
      <c r="N33" s="267">
        <f>ROUND(AVERAGE(5-4*(M33)/(M9)),1)</f>
        <v>2.5</v>
      </c>
      <c r="O33" s="212">
        <f t="shared" si="24"/>
        <v>0.375</v>
      </c>
      <c r="P33" s="254" t="e">
        <f>ROUND(5-4*#REF!/10,1)</f>
        <v>#REF!</v>
      </c>
      <c r="Q33" s="255"/>
      <c r="R33" s="202">
        <v>30</v>
      </c>
      <c r="S33" s="202">
        <v>33</v>
      </c>
      <c r="T33" s="207">
        <f t="shared" si="4"/>
        <v>63</v>
      </c>
      <c r="U33" s="209">
        <f>ROUND(AVERAGE(5-4*(T33)/(T9)),1)</f>
        <v>2.5</v>
      </c>
      <c r="V33" s="212">
        <f t="shared" si="5"/>
        <v>0.375</v>
      </c>
      <c r="W33" s="202">
        <v>85</v>
      </c>
      <c r="X33" s="208">
        <v>90</v>
      </c>
      <c r="Y33" s="203">
        <f t="shared" si="6"/>
        <v>175</v>
      </c>
      <c r="Z33" s="209">
        <f>ROUND(AVERAGE(5-4*(Y33)/(Y9)),1)</f>
        <v>1.5</v>
      </c>
      <c r="AA33" s="212">
        <f>Z33*0.15</f>
        <v>0.22499999999999998</v>
      </c>
      <c r="AB33" s="218">
        <v>25.5</v>
      </c>
      <c r="AC33" s="209">
        <f t="shared" si="8"/>
        <v>1.2222222222222223</v>
      </c>
      <c r="AD33" s="212">
        <f t="shared" si="9"/>
        <v>0.12222222222222223</v>
      </c>
      <c r="AE33" s="202">
        <v>23</v>
      </c>
      <c r="AF33" s="211">
        <f t="shared" si="10"/>
        <v>3.7</v>
      </c>
      <c r="AG33" s="212">
        <f t="shared" si="11"/>
        <v>1.1100000000000001</v>
      </c>
      <c r="AH33" s="203">
        <v>17</v>
      </c>
      <c r="AI33" s="207">
        <v>18</v>
      </c>
      <c r="AJ33" s="203">
        <f>SUM(AH33+AI33)</f>
        <v>35</v>
      </c>
      <c r="AK33" s="209">
        <f>ROUND(AVERAGE(5-4*(AJ33)/(AJ9)),1)</f>
        <v>3.6</v>
      </c>
      <c r="AL33" s="212">
        <f t="shared" si="13"/>
        <v>0.54</v>
      </c>
      <c r="AM33" s="207">
        <v>34</v>
      </c>
      <c r="AN33" s="207">
        <v>35</v>
      </c>
      <c r="AO33" s="96">
        <f t="shared" si="14"/>
        <v>69</v>
      </c>
      <c r="AP33" s="209">
        <f>ROUND(AVERAGE(5-4*(AO33)/(AO9)),1)</f>
        <v>2.2000000000000002</v>
      </c>
      <c r="AQ33" s="215">
        <f t="shared" si="15"/>
        <v>0.33</v>
      </c>
      <c r="AR33" s="207">
        <v>35</v>
      </c>
      <c r="AS33" s="207">
        <v>40</v>
      </c>
      <c r="AT33" s="203">
        <f t="shared" si="16"/>
        <v>75</v>
      </c>
      <c r="AU33" s="213">
        <f>ROUND(AVERAGE(5-4*(AT33)/(AT9)),1)</f>
        <v>2</v>
      </c>
      <c r="AV33" s="214">
        <f t="shared" si="17"/>
        <v>0.3</v>
      </c>
      <c r="AW33" s="207">
        <v>80</v>
      </c>
      <c r="AX33" s="207">
        <v>80</v>
      </c>
      <c r="AY33" s="207">
        <v>85</v>
      </c>
      <c r="AZ33" s="207">
        <f t="shared" si="18"/>
        <v>245</v>
      </c>
      <c r="BA33" s="213">
        <f>ROUND(AVERAGE(5-4*(AZ33)/(AZ9)),1)</f>
        <v>1.7</v>
      </c>
      <c r="BB33" s="214">
        <f t="shared" si="19"/>
        <v>0.255</v>
      </c>
      <c r="BC33" s="216">
        <v>24</v>
      </c>
      <c r="BD33" s="213">
        <f>5-(4*BC33/BC9)</f>
        <v>1.4444444444444446</v>
      </c>
      <c r="BE33" s="214">
        <f t="shared" si="20"/>
        <v>0.14444444444444446</v>
      </c>
      <c r="BF33" s="206">
        <v>29</v>
      </c>
      <c r="BG33" s="217">
        <f>ROUND(AVERAGE(5-4*(BF33)/(BF9)),1)</f>
        <v>3.3</v>
      </c>
      <c r="BH33" s="214">
        <f t="shared" si="21"/>
        <v>0.98999999999999988</v>
      </c>
      <c r="BI33" s="216">
        <f>H33+O33+V33+AA33+AD33+AG33</f>
        <v>2.5522222222222224</v>
      </c>
      <c r="BJ33" s="216">
        <f t="shared" si="22"/>
        <v>2.5594444444444444</v>
      </c>
      <c r="BK33" s="216">
        <f t="shared" si="23"/>
        <v>2.5558333333333332</v>
      </c>
      <c r="BL33" s="206" t="s">
        <v>91</v>
      </c>
    </row>
    <row r="34" spans="1:64" s="20" customFormat="1" ht="15" customHeight="1" x14ac:dyDescent="0.3">
      <c r="A34" s="272">
        <v>24</v>
      </c>
      <c r="B34" s="273" t="s">
        <v>260</v>
      </c>
      <c r="C34" s="237" t="s">
        <v>261</v>
      </c>
      <c r="D34" s="202">
        <v>30</v>
      </c>
      <c r="E34" s="202">
        <v>29</v>
      </c>
      <c r="F34" s="207">
        <f t="shared" si="0"/>
        <v>59</v>
      </c>
      <c r="G34" s="267">
        <f>ROUND(AVERAGE(5-4*(F34)/(F9)),1)</f>
        <v>2.6</v>
      </c>
      <c r="H34" s="251">
        <f t="shared" si="27"/>
        <v>0.39</v>
      </c>
      <c r="I34" s="252">
        <v>30</v>
      </c>
      <c r="J34" s="253">
        <f t="shared" si="28"/>
        <v>1</v>
      </c>
      <c r="K34" s="205">
        <v>35</v>
      </c>
      <c r="L34" s="205">
        <v>37</v>
      </c>
      <c r="M34" s="206">
        <f t="shared" si="3"/>
        <v>72</v>
      </c>
      <c r="N34" s="267">
        <f>ROUND(AVERAGE(5-4*(M34)/(M9)),1)</f>
        <v>2.1</v>
      </c>
      <c r="O34" s="212">
        <f t="shared" si="24"/>
        <v>0.315</v>
      </c>
      <c r="P34" s="254" t="e">
        <f>ROUND(5-4*#REF!/10,1)</f>
        <v>#REF!</v>
      </c>
      <c r="Q34" s="255"/>
      <c r="R34" s="202">
        <v>38</v>
      </c>
      <c r="S34" s="202">
        <v>30</v>
      </c>
      <c r="T34" s="207">
        <f>SUM(R34+S34)</f>
        <v>68</v>
      </c>
      <c r="U34" s="209">
        <f>ROUND(AVERAGE(5-4*(T34)/(T9)),1)</f>
        <v>2.2999999999999998</v>
      </c>
      <c r="V34" s="212">
        <f>U34*0.15</f>
        <v>0.34499999999999997</v>
      </c>
      <c r="W34" s="202">
        <v>86</v>
      </c>
      <c r="X34" s="208">
        <v>92</v>
      </c>
      <c r="Y34" s="203">
        <f t="shared" si="6"/>
        <v>178</v>
      </c>
      <c r="Z34" s="209">
        <f>ROUND(AVERAGE(5-4*(Y34)/(Y9)),1)</f>
        <v>1.4</v>
      </c>
      <c r="AA34" s="212">
        <f t="shared" si="7"/>
        <v>0.21</v>
      </c>
      <c r="AB34" s="218">
        <v>24</v>
      </c>
      <c r="AC34" s="209">
        <f t="shared" si="8"/>
        <v>1.4444444444444446</v>
      </c>
      <c r="AD34" s="212">
        <f t="shared" si="9"/>
        <v>0.14444444444444446</v>
      </c>
      <c r="AE34" s="202">
        <v>47</v>
      </c>
      <c r="AF34" s="211">
        <f>ROUND(AVERAGE(5-4*(AE34)/(70)),1)</f>
        <v>2.2999999999999998</v>
      </c>
      <c r="AG34" s="212">
        <f t="shared" si="11"/>
        <v>0.69</v>
      </c>
      <c r="AH34" s="203">
        <v>17</v>
      </c>
      <c r="AI34" s="207">
        <v>30</v>
      </c>
      <c r="AJ34" s="203">
        <f t="shared" si="12"/>
        <v>47</v>
      </c>
      <c r="AK34" s="209">
        <f>ROUND(AVERAGE(5-4*(AJ34)/(AJ9)),1)</f>
        <v>3.1</v>
      </c>
      <c r="AL34" s="212">
        <f t="shared" si="13"/>
        <v>0.46499999999999997</v>
      </c>
      <c r="AM34" s="207">
        <v>30</v>
      </c>
      <c r="AN34" s="207">
        <v>35</v>
      </c>
      <c r="AO34" s="96">
        <f t="shared" si="14"/>
        <v>65</v>
      </c>
      <c r="AP34" s="209">
        <f>ROUND(AVERAGE(5-4*(AO34)/(AO9)),1)</f>
        <v>2.4</v>
      </c>
      <c r="AQ34" s="215">
        <f t="shared" si="15"/>
        <v>0.36</v>
      </c>
      <c r="AR34" s="207">
        <v>35</v>
      </c>
      <c r="AS34" s="207">
        <v>38</v>
      </c>
      <c r="AT34" s="203">
        <f t="shared" si="16"/>
        <v>73</v>
      </c>
      <c r="AU34" s="213">
        <f>ROUND(AVERAGE(5-4*(AT34)/(AT9)),1)</f>
        <v>2.1</v>
      </c>
      <c r="AV34" s="214">
        <f t="shared" si="17"/>
        <v>0.315</v>
      </c>
      <c r="AW34" s="207">
        <v>85</v>
      </c>
      <c r="AX34" s="207">
        <v>87</v>
      </c>
      <c r="AY34" s="207">
        <v>95</v>
      </c>
      <c r="AZ34" s="207">
        <f t="shared" si="18"/>
        <v>267</v>
      </c>
      <c r="BA34" s="213">
        <f>ROUND(AVERAGE(5-4*(AZ34)/(AZ9)),1)</f>
        <v>1.4</v>
      </c>
      <c r="BB34" s="214">
        <f t="shared" si="19"/>
        <v>0.21</v>
      </c>
      <c r="BC34" s="216">
        <v>27</v>
      </c>
      <c r="BD34" s="213">
        <f>5-(4*BC34/BC9)</f>
        <v>1</v>
      </c>
      <c r="BE34" s="214">
        <f t="shared" si="20"/>
        <v>0.1</v>
      </c>
      <c r="BF34" s="206">
        <v>28</v>
      </c>
      <c r="BG34" s="217">
        <f>ROUND(AVERAGE(5-4*(BF34)/(BF9)),1)</f>
        <v>3.4</v>
      </c>
      <c r="BH34" s="242">
        <f t="shared" si="21"/>
        <v>1.02</v>
      </c>
      <c r="BI34" s="216">
        <f t="shared" si="26"/>
        <v>2.0944444444444441</v>
      </c>
      <c r="BJ34" s="216">
        <f t="shared" si="22"/>
        <v>2.4699999999999998</v>
      </c>
      <c r="BK34" s="216">
        <f t="shared" si="23"/>
        <v>2.2822222222222219</v>
      </c>
      <c r="BL34" s="206" t="s">
        <v>91</v>
      </c>
    </row>
    <row r="35" spans="1:64" s="20" customFormat="1" ht="15" customHeight="1" x14ac:dyDescent="0.3">
      <c r="A35" s="272">
        <v>25</v>
      </c>
      <c r="B35" s="273" t="s">
        <v>262</v>
      </c>
      <c r="C35" s="237" t="s">
        <v>263</v>
      </c>
      <c r="D35" s="202">
        <v>40</v>
      </c>
      <c r="E35" s="202">
        <v>28</v>
      </c>
      <c r="F35" s="207">
        <f t="shared" si="0"/>
        <v>68</v>
      </c>
      <c r="G35" s="267">
        <f>ROUND(AVERAGE(5-4*(F35)/(F9)),1)</f>
        <v>2.2999999999999998</v>
      </c>
      <c r="H35" s="251">
        <f t="shared" si="27"/>
        <v>0.34499999999999997</v>
      </c>
      <c r="I35" s="252">
        <v>30</v>
      </c>
      <c r="J35" s="253">
        <f t="shared" si="28"/>
        <v>1</v>
      </c>
      <c r="K35" s="205">
        <v>39</v>
      </c>
      <c r="L35" s="205">
        <v>35</v>
      </c>
      <c r="M35" s="206">
        <f t="shared" si="3"/>
        <v>74</v>
      </c>
      <c r="N35" s="267">
        <f>ROUND(AVERAGE(5-4*(M35)/(M9)),1)</f>
        <v>2</v>
      </c>
      <c r="O35" s="212">
        <f t="shared" si="24"/>
        <v>0.3</v>
      </c>
      <c r="P35" s="254" t="e">
        <f>ROUND(5-4*#REF!/10,1)</f>
        <v>#REF!</v>
      </c>
      <c r="Q35" s="255"/>
      <c r="R35" s="202">
        <v>42</v>
      </c>
      <c r="S35" s="202">
        <v>30</v>
      </c>
      <c r="T35" s="207">
        <f t="shared" si="4"/>
        <v>72</v>
      </c>
      <c r="U35" s="209">
        <f>ROUND(AVERAGE(5-4*(T35)/(T9)),1)</f>
        <v>2.1</v>
      </c>
      <c r="V35" s="212">
        <f t="shared" si="5"/>
        <v>0.315</v>
      </c>
      <c r="W35" s="202">
        <v>88</v>
      </c>
      <c r="X35" s="208">
        <v>85</v>
      </c>
      <c r="Y35" s="203">
        <f t="shared" si="6"/>
        <v>173</v>
      </c>
      <c r="Z35" s="209">
        <f>ROUND(AVERAGE(5-4*(Y35)/(Y9)),1)</f>
        <v>1.5</v>
      </c>
      <c r="AA35" s="212">
        <f t="shared" si="7"/>
        <v>0.22499999999999998</v>
      </c>
      <c r="AB35" s="218">
        <v>27.5</v>
      </c>
      <c r="AC35" s="209">
        <f>5-(4*AB35/27)</f>
        <v>0.9259259259259256</v>
      </c>
      <c r="AD35" s="212">
        <f t="shared" si="9"/>
        <v>9.259259259259256E-2</v>
      </c>
      <c r="AE35" s="202">
        <v>37</v>
      </c>
      <c r="AF35" s="211">
        <f t="shared" si="10"/>
        <v>2.9</v>
      </c>
      <c r="AG35" s="212">
        <f t="shared" si="11"/>
        <v>0.87</v>
      </c>
      <c r="AH35" s="203">
        <v>14</v>
      </c>
      <c r="AI35" s="207">
        <v>8</v>
      </c>
      <c r="AJ35" s="203">
        <f t="shared" si="12"/>
        <v>22</v>
      </c>
      <c r="AK35" s="209">
        <f>ROUND(AVERAGE(5-4*(AJ35)/(AJ9)),1)</f>
        <v>4.0999999999999996</v>
      </c>
      <c r="AL35" s="212">
        <f t="shared" si="13"/>
        <v>0.61499999999999988</v>
      </c>
      <c r="AM35" s="207">
        <v>30</v>
      </c>
      <c r="AN35" s="207">
        <v>32</v>
      </c>
      <c r="AO35" s="96">
        <f t="shared" si="14"/>
        <v>62</v>
      </c>
      <c r="AP35" s="209">
        <f>ROUND(AVERAGE(5-4*(AO35)/(AO9)),1)</f>
        <v>2.5</v>
      </c>
      <c r="AQ35" s="215">
        <f t="shared" si="15"/>
        <v>0.375</v>
      </c>
      <c r="AR35" s="207">
        <v>32</v>
      </c>
      <c r="AS35" s="207">
        <v>30</v>
      </c>
      <c r="AT35" s="203">
        <f t="shared" si="16"/>
        <v>62</v>
      </c>
      <c r="AU35" s="213">
        <f>ROUND(AVERAGE(5-4*(AT35)/(AT9)),1)</f>
        <v>2.5</v>
      </c>
      <c r="AV35" s="214">
        <f t="shared" si="17"/>
        <v>0.375</v>
      </c>
      <c r="AW35" s="207">
        <v>85</v>
      </c>
      <c r="AX35" s="207">
        <v>87</v>
      </c>
      <c r="AY35" s="207">
        <v>90</v>
      </c>
      <c r="AZ35" s="207">
        <f t="shared" si="18"/>
        <v>262</v>
      </c>
      <c r="BA35" s="213">
        <f>ROUND(AVERAGE(5-4*(AZ35)/(AZ9)),1)</f>
        <v>1.5</v>
      </c>
      <c r="BB35" s="214">
        <f t="shared" si="19"/>
        <v>0.22499999999999998</v>
      </c>
      <c r="BC35" s="216">
        <v>27</v>
      </c>
      <c r="BD35" s="213">
        <f>5-(4*BC35/BC9)</f>
        <v>1</v>
      </c>
      <c r="BE35" s="214">
        <f t="shared" si="20"/>
        <v>0.1</v>
      </c>
      <c r="BF35" s="206">
        <v>46</v>
      </c>
      <c r="BG35" s="217">
        <f>ROUND(AVERAGE(5-4*(BF35)/(BF9)),1)</f>
        <v>2.4</v>
      </c>
      <c r="BH35" s="242">
        <f t="shared" si="21"/>
        <v>0.72</v>
      </c>
      <c r="BI35" s="216">
        <f t="shared" si="26"/>
        <v>2.1475925925925927</v>
      </c>
      <c r="BJ35" s="216">
        <f t="shared" si="22"/>
        <v>2.41</v>
      </c>
      <c r="BK35" s="216">
        <f>(BI35*1/2)+(BJ35*1/2)</f>
        <v>2.2787962962962967</v>
      </c>
      <c r="BL35" s="206" t="s">
        <v>91</v>
      </c>
    </row>
    <row r="36" spans="1:64" s="20" customFormat="1" ht="15" customHeight="1" x14ac:dyDescent="0.3">
      <c r="A36" s="272">
        <v>26</v>
      </c>
      <c r="B36" s="273" t="s">
        <v>302</v>
      </c>
      <c r="C36" s="237" t="s">
        <v>303</v>
      </c>
      <c r="D36" s="202">
        <v>19</v>
      </c>
      <c r="E36" s="202">
        <v>12</v>
      </c>
      <c r="F36" s="207">
        <f t="shared" si="0"/>
        <v>31</v>
      </c>
      <c r="G36" s="267">
        <f>ROUND(AVERAGE(5-4*(F36)/(F9)),1)</f>
        <v>3.8</v>
      </c>
      <c r="H36" s="251">
        <f>G36*0.15</f>
        <v>0.56999999999999995</v>
      </c>
      <c r="I36" s="252"/>
      <c r="J36" s="253"/>
      <c r="K36" s="205">
        <v>27</v>
      </c>
      <c r="L36" s="205">
        <v>28</v>
      </c>
      <c r="M36" s="206">
        <f t="shared" si="3"/>
        <v>55</v>
      </c>
      <c r="N36" s="267">
        <f>ROUND(AVERAGE(5-4*(M36)/(M9)),1)</f>
        <v>2.8</v>
      </c>
      <c r="O36" s="212">
        <f t="shared" si="24"/>
        <v>0.42</v>
      </c>
      <c r="P36" s="254"/>
      <c r="Q36" s="255"/>
      <c r="R36" s="202">
        <v>28</v>
      </c>
      <c r="S36" s="202">
        <v>28</v>
      </c>
      <c r="T36" s="207">
        <f t="shared" si="4"/>
        <v>56</v>
      </c>
      <c r="U36" s="209">
        <f>ROUND(AVERAGE(5-4*(T36)/(T9)),1)</f>
        <v>2.8</v>
      </c>
      <c r="V36" s="212">
        <f t="shared" si="5"/>
        <v>0.42</v>
      </c>
      <c r="W36" s="202">
        <v>75</v>
      </c>
      <c r="X36" s="208">
        <v>80</v>
      </c>
      <c r="Y36" s="203">
        <f t="shared" si="6"/>
        <v>155</v>
      </c>
      <c r="Z36" s="209">
        <f>ROUND(AVERAGE(5-4*(Y36)/(Y9)),1)</f>
        <v>1.9</v>
      </c>
      <c r="AA36" s="212">
        <f t="shared" si="7"/>
        <v>0.28499999999999998</v>
      </c>
      <c r="AB36" s="218">
        <v>25.5</v>
      </c>
      <c r="AC36" s="209">
        <f>5-(4*AB36/27)</f>
        <v>1.2222222222222223</v>
      </c>
      <c r="AD36" s="212">
        <f t="shared" si="9"/>
        <v>0.12222222222222223</v>
      </c>
      <c r="AE36" s="202">
        <v>26</v>
      </c>
      <c r="AF36" s="211">
        <f t="shared" si="10"/>
        <v>3.5</v>
      </c>
      <c r="AG36" s="212">
        <f t="shared" si="11"/>
        <v>1.05</v>
      </c>
      <c r="AH36" s="203">
        <v>15</v>
      </c>
      <c r="AI36" s="207">
        <v>15</v>
      </c>
      <c r="AJ36" s="203">
        <f t="shared" si="12"/>
        <v>30</v>
      </c>
      <c r="AK36" s="209">
        <f>ROUND(AVERAGE(5-4*(AJ36)/(AJ9)),1)</f>
        <v>3.8</v>
      </c>
      <c r="AL36" s="212">
        <f t="shared" si="13"/>
        <v>0.56999999999999995</v>
      </c>
      <c r="AM36" s="207">
        <v>30</v>
      </c>
      <c r="AN36" s="207">
        <v>30</v>
      </c>
      <c r="AO36" s="96">
        <f t="shared" si="14"/>
        <v>60</v>
      </c>
      <c r="AP36" s="209">
        <f>ROUND(AVERAGE(5-4*(AO36)/(AO9)),1)</f>
        <v>2.6</v>
      </c>
      <c r="AQ36" s="215">
        <f t="shared" si="15"/>
        <v>0.39</v>
      </c>
      <c r="AR36" s="207">
        <v>30</v>
      </c>
      <c r="AS36" s="207">
        <v>30</v>
      </c>
      <c r="AT36" s="203">
        <f t="shared" si="16"/>
        <v>60</v>
      </c>
      <c r="AU36" s="213">
        <f>ROUND(AVERAGE(5-4*(AT36)/(AT9)),1)</f>
        <v>2.6</v>
      </c>
      <c r="AV36" s="214">
        <f t="shared" si="17"/>
        <v>0.39</v>
      </c>
      <c r="AW36" s="207">
        <v>80</v>
      </c>
      <c r="AX36" s="207">
        <v>80</v>
      </c>
      <c r="AY36" s="207">
        <v>85</v>
      </c>
      <c r="AZ36" s="207">
        <f t="shared" si="18"/>
        <v>245</v>
      </c>
      <c r="BA36" s="213">
        <f>ROUND(AVERAGE(5-4*(AZ36)/(AZ9)),1)</f>
        <v>1.7</v>
      </c>
      <c r="BB36" s="214">
        <f t="shared" si="19"/>
        <v>0.255</v>
      </c>
      <c r="BC36" s="216">
        <v>24</v>
      </c>
      <c r="BD36" s="213">
        <f>5-(4*BC36/BC9)</f>
        <v>1.4444444444444446</v>
      </c>
      <c r="BE36" s="214">
        <f t="shared" si="20"/>
        <v>0.14444444444444446</v>
      </c>
      <c r="BF36" s="206">
        <v>12</v>
      </c>
      <c r="BG36" s="217">
        <f>ROUND(AVERAGE(5-4*(BF36)/(BF9)),1)</f>
        <v>4.3</v>
      </c>
      <c r="BH36" s="242">
        <f t="shared" si="21"/>
        <v>1.2899999999999998</v>
      </c>
      <c r="BI36" s="216">
        <f t="shared" si="26"/>
        <v>2.8672222222222219</v>
      </c>
      <c r="BJ36" s="216">
        <f t="shared" si="22"/>
        <v>3.0394444444444444</v>
      </c>
      <c r="BK36" s="216">
        <f t="shared" si="23"/>
        <v>2.9533333333333331</v>
      </c>
      <c r="BL36" s="206" t="s">
        <v>91</v>
      </c>
    </row>
    <row r="37" spans="1:64" s="20" customFormat="1" ht="15" customHeight="1" x14ac:dyDescent="0.3">
      <c r="A37" s="272">
        <v>27</v>
      </c>
      <c r="B37" s="273" t="s">
        <v>264</v>
      </c>
      <c r="C37" s="237" t="s">
        <v>265</v>
      </c>
      <c r="D37" s="202">
        <v>41</v>
      </c>
      <c r="E37" s="202">
        <v>29</v>
      </c>
      <c r="F37" s="207">
        <f t="shared" si="0"/>
        <v>70</v>
      </c>
      <c r="G37" s="267">
        <f>ROUND(AVERAGE(5-4*(F37)/(F9)),1)</f>
        <v>2.2000000000000002</v>
      </c>
      <c r="H37" s="251">
        <f t="shared" si="27"/>
        <v>0.33</v>
      </c>
      <c r="I37" s="252">
        <v>26</v>
      </c>
      <c r="J37" s="253">
        <f t="shared" si="28"/>
        <v>1.5</v>
      </c>
      <c r="K37" s="205">
        <v>39</v>
      </c>
      <c r="L37" s="205">
        <v>34</v>
      </c>
      <c r="M37" s="206">
        <f t="shared" si="3"/>
        <v>73</v>
      </c>
      <c r="N37" s="267">
        <f>ROUND(AVERAGE(5-4*(M37)/(M9)),1)</f>
        <v>2.1</v>
      </c>
      <c r="O37" s="212">
        <f t="shared" si="24"/>
        <v>0.315</v>
      </c>
      <c r="P37" s="254" t="e">
        <f>ROUND(5-4*#REF!/10,1)</f>
        <v>#REF!</v>
      </c>
      <c r="Q37" s="255"/>
      <c r="R37" s="202">
        <v>42</v>
      </c>
      <c r="S37" s="202">
        <v>40</v>
      </c>
      <c r="T37" s="207">
        <f>SUM(R37+S37)</f>
        <v>82</v>
      </c>
      <c r="U37" s="209">
        <f>ROUND(AVERAGE(5-4*(T37)/(T9)),1)</f>
        <v>1.7</v>
      </c>
      <c r="V37" s="212">
        <f t="shared" si="5"/>
        <v>0.255</v>
      </c>
      <c r="W37" s="202">
        <v>100</v>
      </c>
      <c r="X37" s="208">
        <v>80</v>
      </c>
      <c r="Y37" s="203">
        <f t="shared" si="6"/>
        <v>180</v>
      </c>
      <c r="Z37" s="209">
        <f>ROUND(AVERAGE(5-4*(Y37)/(Y9)),1)</f>
        <v>1.4</v>
      </c>
      <c r="AA37" s="212">
        <f t="shared" si="7"/>
        <v>0.21</v>
      </c>
      <c r="AB37" s="218">
        <v>27</v>
      </c>
      <c r="AC37" s="209">
        <f t="shared" si="8"/>
        <v>1</v>
      </c>
      <c r="AD37" s="212">
        <f t="shared" si="9"/>
        <v>0.1</v>
      </c>
      <c r="AE37" s="202">
        <v>36</v>
      </c>
      <c r="AF37" s="211">
        <f t="shared" si="10"/>
        <v>2.9</v>
      </c>
      <c r="AG37" s="212">
        <f t="shared" si="11"/>
        <v>0.87</v>
      </c>
      <c r="AH37" s="203">
        <v>35</v>
      </c>
      <c r="AI37" s="207">
        <v>20</v>
      </c>
      <c r="AJ37" s="203">
        <f t="shared" si="12"/>
        <v>55</v>
      </c>
      <c r="AK37" s="209">
        <f>ROUND(AVERAGE(5-4*(AJ37)/(AJ9)),1)</f>
        <v>2.8</v>
      </c>
      <c r="AL37" s="212">
        <f t="shared" si="13"/>
        <v>0.42</v>
      </c>
      <c r="AM37" s="207">
        <v>40</v>
      </c>
      <c r="AN37" s="207">
        <v>40</v>
      </c>
      <c r="AO37" s="96">
        <f t="shared" si="14"/>
        <v>80</v>
      </c>
      <c r="AP37" s="209">
        <f>ROUND(AVERAGE(5-4*(AO37)/(AO9)),1)</f>
        <v>1.8</v>
      </c>
      <c r="AQ37" s="215">
        <f t="shared" si="15"/>
        <v>0.27</v>
      </c>
      <c r="AR37" s="207">
        <v>40</v>
      </c>
      <c r="AS37" s="207">
        <v>40</v>
      </c>
      <c r="AT37" s="203">
        <f t="shared" si="16"/>
        <v>80</v>
      </c>
      <c r="AU37" s="213">
        <f>ROUND(AVERAGE(5-4*(AT37)/(AT9)),1)</f>
        <v>1.8</v>
      </c>
      <c r="AV37" s="214">
        <f t="shared" si="17"/>
        <v>0.27</v>
      </c>
      <c r="AW37" s="207">
        <v>100</v>
      </c>
      <c r="AX37" s="207">
        <v>100</v>
      </c>
      <c r="AY37" s="207">
        <v>95</v>
      </c>
      <c r="AZ37" s="207">
        <f t="shared" si="18"/>
        <v>295</v>
      </c>
      <c r="BA37" s="213">
        <f>ROUND(AVERAGE(5-4*(AZ37)/(AZ9)),1)</f>
        <v>1.1000000000000001</v>
      </c>
      <c r="BB37" s="214">
        <f t="shared" si="19"/>
        <v>0.16500000000000001</v>
      </c>
      <c r="BC37" s="216">
        <v>27</v>
      </c>
      <c r="BD37" s="213">
        <f>5-(4*BC37/BC9)</f>
        <v>1</v>
      </c>
      <c r="BE37" s="214">
        <f t="shared" si="20"/>
        <v>0.1</v>
      </c>
      <c r="BF37" s="206">
        <v>49</v>
      </c>
      <c r="BG37" s="217">
        <f>ROUND(AVERAGE(5-4*(BF37)/(BF9)),1)</f>
        <v>2.2000000000000002</v>
      </c>
      <c r="BH37" s="242">
        <f t="shared" si="21"/>
        <v>0.66</v>
      </c>
      <c r="BI37" s="216">
        <f t="shared" si="26"/>
        <v>2.08</v>
      </c>
      <c r="BJ37" s="216">
        <f t="shared" si="22"/>
        <v>1.8850000000000002</v>
      </c>
      <c r="BK37" s="216">
        <f t="shared" si="23"/>
        <v>1.9825000000000002</v>
      </c>
      <c r="BL37" s="206" t="s">
        <v>91</v>
      </c>
    </row>
    <row r="38" spans="1:64" s="20" customFormat="1" ht="15" customHeight="1" x14ac:dyDescent="0.3">
      <c r="A38" s="272">
        <v>28</v>
      </c>
      <c r="B38" s="273" t="s">
        <v>266</v>
      </c>
      <c r="C38" s="237" t="s">
        <v>267</v>
      </c>
      <c r="D38" s="202">
        <v>43</v>
      </c>
      <c r="E38" s="202">
        <v>44</v>
      </c>
      <c r="F38" s="207">
        <f t="shared" si="0"/>
        <v>87</v>
      </c>
      <c r="G38" s="267">
        <f>ROUND(AVERAGE(5-4*(F38)/(F9)),1)</f>
        <v>1.5</v>
      </c>
      <c r="H38" s="251">
        <f t="shared" si="27"/>
        <v>0.22499999999999998</v>
      </c>
      <c r="I38" s="252">
        <v>25</v>
      </c>
      <c r="J38" s="253">
        <f t="shared" si="28"/>
        <v>1.7</v>
      </c>
      <c r="K38" s="205">
        <v>37</v>
      </c>
      <c r="L38" s="205">
        <v>40</v>
      </c>
      <c r="M38" s="206">
        <f t="shared" si="3"/>
        <v>77</v>
      </c>
      <c r="N38" s="267">
        <f>ROUND(AVERAGE(5-4*(M38)/(M9)),1)</f>
        <v>1.9</v>
      </c>
      <c r="O38" s="212">
        <f t="shared" si="24"/>
        <v>0.28499999999999998</v>
      </c>
      <c r="P38" s="254" t="e">
        <f>ROUND(5-4*#REF!/10,1)</f>
        <v>#REF!</v>
      </c>
      <c r="Q38" s="255"/>
      <c r="R38" s="202">
        <v>35</v>
      </c>
      <c r="S38" s="202">
        <v>38</v>
      </c>
      <c r="T38" s="207">
        <f t="shared" si="4"/>
        <v>73</v>
      </c>
      <c r="U38" s="209">
        <f>ROUND(AVERAGE(5-4*(T38)/(T9)),1)</f>
        <v>2.1</v>
      </c>
      <c r="V38" s="212">
        <f t="shared" si="5"/>
        <v>0.315</v>
      </c>
      <c r="W38" s="202">
        <v>90</v>
      </c>
      <c r="X38" s="208">
        <v>90</v>
      </c>
      <c r="Y38" s="203">
        <f t="shared" si="6"/>
        <v>180</v>
      </c>
      <c r="Z38" s="209">
        <f>ROUND(AVERAGE(5-4*(Y38)/(Y9)),1)</f>
        <v>1.4</v>
      </c>
      <c r="AA38" s="212">
        <f t="shared" si="7"/>
        <v>0.21</v>
      </c>
      <c r="AB38" s="218">
        <v>27</v>
      </c>
      <c r="AC38" s="209">
        <f t="shared" si="8"/>
        <v>1</v>
      </c>
      <c r="AD38" s="212">
        <f t="shared" si="9"/>
        <v>0.1</v>
      </c>
      <c r="AE38" s="202">
        <v>49</v>
      </c>
      <c r="AF38" s="211">
        <f t="shared" si="10"/>
        <v>2.2000000000000002</v>
      </c>
      <c r="AG38" s="212">
        <f t="shared" si="11"/>
        <v>0.66</v>
      </c>
      <c r="AH38" s="203">
        <v>27</v>
      </c>
      <c r="AI38" s="207">
        <v>28</v>
      </c>
      <c r="AJ38" s="203">
        <f t="shared" si="12"/>
        <v>55</v>
      </c>
      <c r="AK38" s="209">
        <f>ROUND(AVERAGE(5-4*(AJ38)/(AJ9)),1)</f>
        <v>2.8</v>
      </c>
      <c r="AL38" s="212">
        <f t="shared" si="13"/>
        <v>0.42</v>
      </c>
      <c r="AM38" s="207">
        <v>44</v>
      </c>
      <c r="AN38" s="207">
        <v>43</v>
      </c>
      <c r="AO38" s="96">
        <f t="shared" si="14"/>
        <v>87</v>
      </c>
      <c r="AP38" s="209">
        <f>ROUND(AVERAGE(5-4*(AO38)/(AO9)),1)</f>
        <v>1.5</v>
      </c>
      <c r="AQ38" s="215">
        <f t="shared" si="15"/>
        <v>0.22499999999999998</v>
      </c>
      <c r="AR38" s="207">
        <v>35</v>
      </c>
      <c r="AS38" s="207">
        <v>43</v>
      </c>
      <c r="AT38" s="203">
        <f t="shared" si="16"/>
        <v>78</v>
      </c>
      <c r="AU38" s="213">
        <f>ROUND(AVERAGE(5-4*(AT38)/(AT9)),1)</f>
        <v>1.9</v>
      </c>
      <c r="AV38" s="214">
        <f>AU38*0.15</f>
        <v>0.28499999999999998</v>
      </c>
      <c r="AW38" s="207">
        <v>100</v>
      </c>
      <c r="AX38" s="207">
        <v>100</v>
      </c>
      <c r="AY38" s="207">
        <v>100</v>
      </c>
      <c r="AZ38" s="207">
        <f t="shared" si="18"/>
        <v>300</v>
      </c>
      <c r="BA38" s="213">
        <f>ROUND(AVERAGE(5-4*(AZ38)/(AZ9)),1)</f>
        <v>1</v>
      </c>
      <c r="BB38" s="214">
        <f t="shared" si="19"/>
        <v>0.15</v>
      </c>
      <c r="BC38" s="216">
        <v>27</v>
      </c>
      <c r="BD38" s="213">
        <f>5-(4*BC38/BC9)</f>
        <v>1</v>
      </c>
      <c r="BE38" s="214">
        <f t="shared" si="20"/>
        <v>0.1</v>
      </c>
      <c r="BF38" s="206">
        <v>39</v>
      </c>
      <c r="BG38" s="217">
        <f>ROUND(AVERAGE(5-4*(BF38)/(BF9)),1)</f>
        <v>2.8</v>
      </c>
      <c r="BH38" s="214">
        <f t="shared" si="21"/>
        <v>0.84</v>
      </c>
      <c r="BI38" s="216">
        <f t="shared" si="26"/>
        <v>1.7949999999999999</v>
      </c>
      <c r="BJ38" s="216">
        <f t="shared" si="22"/>
        <v>2.02</v>
      </c>
      <c r="BK38" s="216">
        <f t="shared" si="23"/>
        <v>1.9075</v>
      </c>
      <c r="BL38" s="206" t="s">
        <v>91</v>
      </c>
    </row>
    <row r="39" spans="1:64" s="20" customFormat="1" ht="15" customHeight="1" x14ac:dyDescent="0.3">
      <c r="A39" s="272">
        <v>29</v>
      </c>
      <c r="B39" s="273" t="s">
        <v>268</v>
      </c>
      <c r="C39" s="237" t="s">
        <v>269</v>
      </c>
      <c r="D39" s="86">
        <v>40</v>
      </c>
      <c r="E39" s="86">
        <v>21</v>
      </c>
      <c r="F39" s="93">
        <f t="shared" si="0"/>
        <v>61</v>
      </c>
      <c r="G39" s="266">
        <f>ROUND(AVERAGE(5-4*(F39)/(F9)),1)</f>
        <v>2.6</v>
      </c>
      <c r="H39" s="245">
        <f t="shared" si="27"/>
        <v>0.39</v>
      </c>
      <c r="I39" s="246">
        <v>26</v>
      </c>
      <c r="J39" s="247">
        <f t="shared" si="28"/>
        <v>1.5</v>
      </c>
      <c r="K39" s="78">
        <v>50</v>
      </c>
      <c r="L39" s="78">
        <v>37</v>
      </c>
      <c r="M39" s="81">
        <f t="shared" si="3"/>
        <v>87</v>
      </c>
      <c r="N39" s="266">
        <f>ROUND(AVERAGE(5-4*(M39)/(M9)),1)</f>
        <v>1.5</v>
      </c>
      <c r="O39" s="108">
        <f t="shared" si="24"/>
        <v>0.22499999999999998</v>
      </c>
      <c r="P39" s="248" t="e">
        <f>ROUND(5-4*#REF!/10,1)</f>
        <v>#REF!</v>
      </c>
      <c r="Q39" s="249"/>
      <c r="R39" s="86">
        <v>50</v>
      </c>
      <c r="S39" s="86">
        <v>34</v>
      </c>
      <c r="T39" s="93">
        <f t="shared" si="4"/>
        <v>84</v>
      </c>
      <c r="U39" s="106">
        <f>ROUND(AVERAGE(5-4*(T39)/(T9)),1)</f>
        <v>1.6</v>
      </c>
      <c r="V39" s="108">
        <f t="shared" si="5"/>
        <v>0.24</v>
      </c>
      <c r="W39" s="86">
        <v>90</v>
      </c>
      <c r="X39" s="95">
        <v>80</v>
      </c>
      <c r="Y39" s="96">
        <f t="shared" si="6"/>
        <v>170</v>
      </c>
      <c r="Z39" s="106">
        <f>ROUND(AVERAGE(5-4*(Y39)/(Y9)),1)</f>
        <v>1.6</v>
      </c>
      <c r="AA39" s="108">
        <f t="shared" si="7"/>
        <v>0.24</v>
      </c>
      <c r="AB39" s="218">
        <v>27</v>
      </c>
      <c r="AC39" s="106">
        <f t="shared" si="8"/>
        <v>1</v>
      </c>
      <c r="AD39" s="108">
        <f t="shared" si="9"/>
        <v>0.1</v>
      </c>
      <c r="AE39" s="86">
        <v>30</v>
      </c>
      <c r="AF39" s="107">
        <f t="shared" si="10"/>
        <v>3.3</v>
      </c>
      <c r="AG39" s="108">
        <f t="shared" si="11"/>
        <v>0.98999999999999988</v>
      </c>
      <c r="AH39" s="96">
        <v>6</v>
      </c>
      <c r="AI39" s="93">
        <v>32</v>
      </c>
      <c r="AJ39" s="96">
        <f t="shared" si="12"/>
        <v>38</v>
      </c>
      <c r="AK39" s="106">
        <f>ROUND(AVERAGE(5-4*(AJ39)/(AJ9)),1)</f>
        <v>3.5</v>
      </c>
      <c r="AL39" s="108">
        <f t="shared" si="13"/>
        <v>0.52500000000000002</v>
      </c>
      <c r="AM39" s="93">
        <v>35</v>
      </c>
      <c r="AN39" s="93">
        <v>42</v>
      </c>
      <c r="AO39" s="96">
        <f t="shared" si="14"/>
        <v>77</v>
      </c>
      <c r="AP39" s="106">
        <f>ROUND(AVERAGE(5-4*(AO39)/(AO9)),1)</f>
        <v>1.9</v>
      </c>
      <c r="AQ39" s="158">
        <f t="shared" si="15"/>
        <v>0.28499999999999998</v>
      </c>
      <c r="AR39" s="93">
        <v>38</v>
      </c>
      <c r="AS39" s="93">
        <v>38</v>
      </c>
      <c r="AT39" s="96">
        <f t="shared" si="16"/>
        <v>76</v>
      </c>
      <c r="AU39" s="148">
        <f>ROUND(AVERAGE(5-4*(AT39)/(AT9)),1)</f>
        <v>2</v>
      </c>
      <c r="AV39" s="149">
        <f t="shared" si="17"/>
        <v>0.3</v>
      </c>
      <c r="AW39" s="93">
        <v>80</v>
      </c>
      <c r="AX39" s="93">
        <v>80</v>
      </c>
      <c r="AY39" s="93">
        <v>90</v>
      </c>
      <c r="AZ39" s="93">
        <f>SUM(AX39+AW39+AY39)</f>
        <v>250</v>
      </c>
      <c r="BA39" s="148">
        <f>ROUND(AVERAGE(5-4*(AZ39)/(AZ9)),1)</f>
        <v>1.7</v>
      </c>
      <c r="BB39" s="149">
        <f>BA39*0.15</f>
        <v>0.255</v>
      </c>
      <c r="BC39" s="216">
        <v>27</v>
      </c>
      <c r="BD39" s="148">
        <f>5-(4*BC39/BC9)</f>
        <v>1</v>
      </c>
      <c r="BE39" s="149">
        <f t="shared" si="20"/>
        <v>0.1</v>
      </c>
      <c r="BF39" s="81">
        <v>36</v>
      </c>
      <c r="BG39" s="157">
        <f>ROUND(AVERAGE(5-4*(BF39)/(BF9)),1)</f>
        <v>2.9</v>
      </c>
      <c r="BH39" s="151">
        <f t="shared" si="21"/>
        <v>0.87</v>
      </c>
      <c r="BI39" s="165">
        <f t="shared" si="26"/>
        <v>2.1850000000000001</v>
      </c>
      <c r="BJ39" s="165">
        <f>AL39+AQ39+AV39+BB39+BE39+BH39</f>
        <v>2.3350000000000004</v>
      </c>
      <c r="BK39" s="165">
        <f t="shared" si="23"/>
        <v>2.2600000000000002</v>
      </c>
      <c r="BL39" s="81" t="s">
        <v>91</v>
      </c>
    </row>
    <row r="40" spans="1:64" s="20" customFormat="1" ht="15" customHeight="1" x14ac:dyDescent="0.3">
      <c r="A40" s="327">
        <v>30</v>
      </c>
      <c r="B40" s="328" t="s">
        <v>270</v>
      </c>
      <c r="C40" s="329" t="s">
        <v>271</v>
      </c>
      <c r="D40" s="330"/>
      <c r="E40" s="330"/>
      <c r="F40" s="331"/>
      <c r="G40" s="332">
        <f>ROUND(AVERAGE(5-4*(F40)/(F9)),1)</f>
        <v>5</v>
      </c>
      <c r="H40" s="333">
        <f t="shared" si="27"/>
        <v>0.75</v>
      </c>
      <c r="I40" s="373">
        <v>25</v>
      </c>
      <c r="J40" s="374">
        <f t="shared" si="28"/>
        <v>1.7</v>
      </c>
      <c r="K40" s="335"/>
      <c r="L40" s="335"/>
      <c r="M40" s="336"/>
      <c r="N40" s="332">
        <f>ROUND(AVERAGE(5-4*(M40)/(M9)),1)</f>
        <v>5</v>
      </c>
      <c r="O40" s="337">
        <f t="shared" si="24"/>
        <v>0.75</v>
      </c>
      <c r="P40" s="375" t="e">
        <f>ROUND(5-4*#REF!/10,1)</f>
        <v>#REF!</v>
      </c>
      <c r="Q40" s="376"/>
      <c r="R40" s="330"/>
      <c r="S40" s="330"/>
      <c r="T40" s="331"/>
      <c r="U40" s="341">
        <f>ROUND(AVERAGE(5-4*(T40)/(T9)),1)</f>
        <v>5</v>
      </c>
      <c r="V40" s="337">
        <f t="shared" si="5"/>
        <v>0.75</v>
      </c>
      <c r="W40" s="330"/>
      <c r="X40" s="339"/>
      <c r="Y40" s="340"/>
      <c r="Z40" s="341">
        <f>ROUND(AVERAGE(5-4*(Y40)/(Y9)),1)</f>
        <v>5</v>
      </c>
      <c r="AA40" s="337">
        <f t="shared" si="7"/>
        <v>0.75</v>
      </c>
      <c r="AB40" s="342"/>
      <c r="AC40" s="341">
        <f t="shared" si="8"/>
        <v>5</v>
      </c>
      <c r="AD40" s="337">
        <f t="shared" si="9"/>
        <v>0.5</v>
      </c>
      <c r="AE40" s="330"/>
      <c r="AF40" s="343">
        <f t="shared" si="10"/>
        <v>5</v>
      </c>
      <c r="AG40" s="337">
        <f t="shared" si="11"/>
        <v>1.5</v>
      </c>
      <c r="AH40" s="340"/>
      <c r="AI40" s="331"/>
      <c r="AJ40" s="340"/>
      <c r="AK40" s="341">
        <f>ROUND(AVERAGE(5-4*(AJ40)/(AJ9)),1)</f>
        <v>5</v>
      </c>
      <c r="AL40" s="337">
        <f>AK40*0.15</f>
        <v>0.75</v>
      </c>
      <c r="AM40" s="331"/>
      <c r="AN40" s="331"/>
      <c r="AO40" s="340"/>
      <c r="AP40" s="341">
        <f>ROUND(AVERAGE(5-4*(AO40)/(AO9)),1)</f>
        <v>5</v>
      </c>
      <c r="AQ40" s="344">
        <f t="shared" si="15"/>
        <v>0.75</v>
      </c>
      <c r="AR40" s="331"/>
      <c r="AS40" s="331"/>
      <c r="AT40" s="340"/>
      <c r="AU40" s="345">
        <f>ROUND(AVERAGE(5-4*(AT40)/(AT9)),1)</f>
        <v>5</v>
      </c>
      <c r="AV40" s="346">
        <f t="shared" si="17"/>
        <v>0.75</v>
      </c>
      <c r="AW40" s="331"/>
      <c r="AX40" s="331"/>
      <c r="AY40" s="331"/>
      <c r="AZ40" s="331"/>
      <c r="BA40" s="345">
        <f>ROUND(AVERAGE(5-4*(AZ40)/(AZ9)),1)</f>
        <v>5</v>
      </c>
      <c r="BB40" s="346">
        <f t="shared" si="19"/>
        <v>0.75</v>
      </c>
      <c r="BC40" s="336">
        <v>3</v>
      </c>
      <c r="BD40" s="345">
        <f>5-(4*BC40/BC9)</f>
        <v>4.5555555555555554</v>
      </c>
      <c r="BE40" s="346">
        <f t="shared" si="20"/>
        <v>0.45555555555555555</v>
      </c>
      <c r="BF40" s="336"/>
      <c r="BG40" s="349">
        <f>ROUND(AVERAGE(5-4*(BF40)/(BF9)),1)</f>
        <v>5</v>
      </c>
      <c r="BH40" s="346">
        <f t="shared" si="21"/>
        <v>1.5</v>
      </c>
      <c r="BI40" s="348" t="s">
        <v>93</v>
      </c>
      <c r="BJ40" s="348" t="s">
        <v>93</v>
      </c>
      <c r="BK40" s="348" t="s">
        <v>95</v>
      </c>
      <c r="BL40" s="350">
        <v>45911</v>
      </c>
    </row>
    <row r="41" spans="1:64" s="20" customFormat="1" ht="15" customHeight="1" x14ac:dyDescent="0.3">
      <c r="A41" s="272">
        <v>31</v>
      </c>
      <c r="B41" s="273" t="s">
        <v>274</v>
      </c>
      <c r="C41" s="237" t="s">
        <v>275</v>
      </c>
      <c r="D41" s="86">
        <v>41</v>
      </c>
      <c r="E41" s="86">
        <v>44</v>
      </c>
      <c r="F41" s="93">
        <f t="shared" si="0"/>
        <v>85</v>
      </c>
      <c r="G41" s="266">
        <f>ROUND(AVERAGE(5-4*(F41)/(F9)),1)</f>
        <v>1.6</v>
      </c>
      <c r="H41" s="245">
        <f t="shared" si="27"/>
        <v>0.24</v>
      </c>
      <c r="I41" s="257">
        <v>28</v>
      </c>
      <c r="J41" s="247">
        <f t="shared" si="28"/>
        <v>1.3</v>
      </c>
      <c r="K41" s="78">
        <v>37</v>
      </c>
      <c r="L41" s="78">
        <v>34</v>
      </c>
      <c r="M41" s="81">
        <f t="shared" si="3"/>
        <v>71</v>
      </c>
      <c r="N41" s="266">
        <f>ROUND(AVERAGE(5-4*(M41)/(M9)),1)</f>
        <v>2.2000000000000002</v>
      </c>
      <c r="O41" s="108">
        <f t="shared" si="24"/>
        <v>0.33</v>
      </c>
      <c r="P41" s="248" t="e">
        <f>ROUND(5-4*#REF!/10,1)</f>
        <v>#REF!</v>
      </c>
      <c r="Q41" s="258"/>
      <c r="R41" s="86">
        <v>40</v>
      </c>
      <c r="S41" s="86">
        <v>42</v>
      </c>
      <c r="T41" s="93">
        <f t="shared" si="4"/>
        <v>82</v>
      </c>
      <c r="U41" s="106">
        <f>ROUND(AVERAGE(5-4*(T41)/(T9)),1)</f>
        <v>1.7</v>
      </c>
      <c r="V41" s="108">
        <f t="shared" si="5"/>
        <v>0.255</v>
      </c>
      <c r="W41" s="86">
        <v>100</v>
      </c>
      <c r="X41" s="95">
        <v>100</v>
      </c>
      <c r="Y41" s="96">
        <f t="shared" si="6"/>
        <v>200</v>
      </c>
      <c r="Z41" s="106">
        <f>ROUND(AVERAGE(5-4*(Y41)/(Y9)),1)</f>
        <v>1</v>
      </c>
      <c r="AA41" s="108">
        <f t="shared" si="7"/>
        <v>0.15</v>
      </c>
      <c r="AB41" s="98">
        <v>27</v>
      </c>
      <c r="AC41" s="106">
        <f t="shared" si="8"/>
        <v>1</v>
      </c>
      <c r="AD41" s="108">
        <f t="shared" si="9"/>
        <v>0.1</v>
      </c>
      <c r="AE41" s="86">
        <v>39</v>
      </c>
      <c r="AF41" s="107">
        <f t="shared" si="10"/>
        <v>2.8</v>
      </c>
      <c r="AG41" s="108">
        <f>AF41*0.3</f>
        <v>0.84</v>
      </c>
      <c r="AH41" s="96">
        <v>32</v>
      </c>
      <c r="AI41" s="93">
        <v>22</v>
      </c>
      <c r="AJ41" s="96">
        <f t="shared" si="12"/>
        <v>54</v>
      </c>
      <c r="AK41" s="106">
        <f>ROUND(AVERAGE(5-4*(AJ41)/(AJ9)),1)</f>
        <v>2.8</v>
      </c>
      <c r="AL41" s="108">
        <f t="shared" si="13"/>
        <v>0.42</v>
      </c>
      <c r="AM41" s="93">
        <v>42</v>
      </c>
      <c r="AN41" s="93">
        <v>40</v>
      </c>
      <c r="AO41" s="96">
        <f t="shared" si="14"/>
        <v>82</v>
      </c>
      <c r="AP41" s="106">
        <f>ROUND(AVERAGE(5-4*(AO41)/(AO9)),1)</f>
        <v>1.7</v>
      </c>
      <c r="AQ41" s="158">
        <f t="shared" si="15"/>
        <v>0.255</v>
      </c>
      <c r="AR41" s="93">
        <v>38</v>
      </c>
      <c r="AS41" s="93">
        <v>40</v>
      </c>
      <c r="AT41" s="96">
        <f t="shared" si="16"/>
        <v>78</v>
      </c>
      <c r="AU41" s="148">
        <f>ROUND(AVERAGE(5-4*(AT41)/(AT9)),1)</f>
        <v>1.9</v>
      </c>
      <c r="AV41" s="149">
        <f t="shared" si="17"/>
        <v>0.28499999999999998</v>
      </c>
      <c r="AW41" s="93">
        <v>100</v>
      </c>
      <c r="AX41" s="93">
        <v>100</v>
      </c>
      <c r="AY41" s="93">
        <v>95</v>
      </c>
      <c r="AZ41" s="93">
        <f t="shared" si="18"/>
        <v>295</v>
      </c>
      <c r="BA41" s="148">
        <f>ROUND(AVERAGE(5-4*(AZ41)/(AZ9)),1)</f>
        <v>1.1000000000000001</v>
      </c>
      <c r="BB41" s="149">
        <f t="shared" si="19"/>
        <v>0.16500000000000001</v>
      </c>
      <c r="BC41" s="216">
        <v>27</v>
      </c>
      <c r="BD41" s="148">
        <f>5-(4*BC41/BC9)</f>
        <v>1</v>
      </c>
      <c r="BE41" s="149">
        <f t="shared" si="20"/>
        <v>0.1</v>
      </c>
      <c r="BF41" s="81">
        <v>45</v>
      </c>
      <c r="BG41" s="157">
        <f>ROUND(AVERAGE(5-4*(BF41)/(BF9)),1)</f>
        <v>2.4</v>
      </c>
      <c r="BH41" s="151">
        <f t="shared" si="21"/>
        <v>0.72</v>
      </c>
      <c r="BI41" s="165">
        <f t="shared" si="26"/>
        <v>1.915</v>
      </c>
      <c r="BJ41" s="165">
        <f t="shared" si="22"/>
        <v>1.9450000000000001</v>
      </c>
      <c r="BK41" s="165">
        <f t="shared" si="23"/>
        <v>1.9300000000000002</v>
      </c>
      <c r="BL41" s="81" t="s">
        <v>91</v>
      </c>
    </row>
    <row r="42" spans="1:64" s="20" customFormat="1" ht="15" customHeight="1" x14ac:dyDescent="0.3">
      <c r="A42" s="272">
        <v>32</v>
      </c>
      <c r="B42" s="273" t="s">
        <v>276</v>
      </c>
      <c r="C42" s="237" t="s">
        <v>277</v>
      </c>
      <c r="D42" s="86">
        <v>37</v>
      </c>
      <c r="E42" s="86">
        <v>26</v>
      </c>
      <c r="F42" s="93">
        <f t="shared" si="0"/>
        <v>63</v>
      </c>
      <c r="G42" s="266">
        <f>ROUND(AVERAGE(5-4*(F42)/(F9)),1)</f>
        <v>2.5</v>
      </c>
      <c r="H42" s="245">
        <f t="shared" si="27"/>
        <v>0.375</v>
      </c>
      <c r="I42" s="259"/>
      <c r="J42" s="260"/>
      <c r="K42" s="78">
        <v>36</v>
      </c>
      <c r="L42" s="78">
        <v>33</v>
      </c>
      <c r="M42" s="81">
        <f t="shared" si="3"/>
        <v>69</v>
      </c>
      <c r="N42" s="266">
        <f>ROUND(AVERAGE(5-4*(M42)/(M9)),1)</f>
        <v>2.2000000000000002</v>
      </c>
      <c r="O42" s="108">
        <f t="shared" si="24"/>
        <v>0.33</v>
      </c>
      <c r="P42" s="261"/>
      <c r="Q42" s="262"/>
      <c r="R42" s="86">
        <v>36</v>
      </c>
      <c r="S42" s="86">
        <v>30</v>
      </c>
      <c r="T42" s="93">
        <f t="shared" si="4"/>
        <v>66</v>
      </c>
      <c r="U42" s="106">
        <f>ROUND(AVERAGE(5-4*(T42)/(T9)),1)</f>
        <v>2.4</v>
      </c>
      <c r="V42" s="108">
        <f t="shared" si="5"/>
        <v>0.36</v>
      </c>
      <c r="W42" s="86">
        <v>80</v>
      </c>
      <c r="X42" s="95">
        <v>80</v>
      </c>
      <c r="Y42" s="96">
        <f t="shared" si="6"/>
        <v>160</v>
      </c>
      <c r="Z42" s="106">
        <f>ROUND(AVERAGE(5-4*(Y42)/(Y9)),1)</f>
        <v>1.8</v>
      </c>
      <c r="AA42" s="108">
        <f t="shared" si="7"/>
        <v>0.27</v>
      </c>
      <c r="AB42" s="98">
        <v>27</v>
      </c>
      <c r="AC42" s="106">
        <f t="shared" si="8"/>
        <v>1</v>
      </c>
      <c r="AD42" s="108">
        <f t="shared" si="9"/>
        <v>0.1</v>
      </c>
      <c r="AE42" s="86">
        <v>26</v>
      </c>
      <c r="AF42" s="107">
        <f t="shared" si="10"/>
        <v>3.5</v>
      </c>
      <c r="AG42" s="108">
        <f t="shared" si="11"/>
        <v>1.05</v>
      </c>
      <c r="AH42" s="96">
        <v>12</v>
      </c>
      <c r="AI42" s="152">
        <v>33</v>
      </c>
      <c r="AJ42" s="96">
        <f t="shared" si="12"/>
        <v>45</v>
      </c>
      <c r="AK42" s="106">
        <f>ROUND(AVERAGE(5-4*(AJ42)/(AJ9)),1)</f>
        <v>3.2</v>
      </c>
      <c r="AL42" s="108">
        <f t="shared" si="13"/>
        <v>0.48</v>
      </c>
      <c r="AM42" s="152">
        <v>30</v>
      </c>
      <c r="AN42" s="152">
        <v>32</v>
      </c>
      <c r="AO42" s="96">
        <f t="shared" si="14"/>
        <v>62</v>
      </c>
      <c r="AP42" s="106">
        <f>ROUND(AVERAGE(5-4*(AO42)/(AO9)),1)</f>
        <v>2.5</v>
      </c>
      <c r="AQ42" s="158">
        <f>AP42*0.15</f>
        <v>0.375</v>
      </c>
      <c r="AR42" s="93">
        <v>32</v>
      </c>
      <c r="AS42" s="96">
        <v>30</v>
      </c>
      <c r="AT42" s="96">
        <f t="shared" si="16"/>
        <v>62</v>
      </c>
      <c r="AU42" s="148">
        <f>ROUND(AVERAGE(5-4*(AT42)/(AT9)),1)</f>
        <v>2.5</v>
      </c>
      <c r="AV42" s="149">
        <f t="shared" si="17"/>
        <v>0.375</v>
      </c>
      <c r="AW42" s="93">
        <v>85</v>
      </c>
      <c r="AX42" s="93">
        <v>87</v>
      </c>
      <c r="AY42" s="93">
        <v>90</v>
      </c>
      <c r="AZ42" s="93">
        <f t="shared" si="18"/>
        <v>262</v>
      </c>
      <c r="BA42" s="148">
        <f>ROUND(AVERAGE(5-4*(AZ42)/(AZ9)),1)</f>
        <v>1.5</v>
      </c>
      <c r="BB42" s="149">
        <f t="shared" si="19"/>
        <v>0.22499999999999998</v>
      </c>
      <c r="BC42" s="216">
        <v>27</v>
      </c>
      <c r="BD42" s="148">
        <f>5-(4*BC42/BC9)</f>
        <v>1</v>
      </c>
      <c r="BE42" s="149">
        <f t="shared" si="20"/>
        <v>0.1</v>
      </c>
      <c r="BF42" s="81">
        <v>49</v>
      </c>
      <c r="BG42" s="157">
        <f>ROUND(AVERAGE(5-4*(BF42)/(BF9)),1)</f>
        <v>2.2000000000000002</v>
      </c>
      <c r="BH42" s="151">
        <f t="shared" si="21"/>
        <v>0.66</v>
      </c>
      <c r="BI42" s="165">
        <f t="shared" si="26"/>
        <v>2.4850000000000003</v>
      </c>
      <c r="BJ42" s="165">
        <f t="shared" si="22"/>
        <v>2.2150000000000003</v>
      </c>
      <c r="BK42" s="165">
        <f t="shared" si="23"/>
        <v>2.3500000000000005</v>
      </c>
      <c r="BL42" s="81" t="s">
        <v>91</v>
      </c>
    </row>
    <row r="43" spans="1:64" s="20" customFormat="1" ht="15" customHeight="1" x14ac:dyDescent="0.3">
      <c r="A43" s="327">
        <v>33</v>
      </c>
      <c r="B43" s="328" t="s">
        <v>278</v>
      </c>
      <c r="C43" s="329" t="s">
        <v>279</v>
      </c>
      <c r="D43" s="330"/>
      <c r="E43" s="330"/>
      <c r="F43" s="331"/>
      <c r="G43" s="332">
        <f>ROUND(AVERAGE(5-4*(F43)/(F9)),1)</f>
        <v>5</v>
      </c>
      <c r="H43" s="333">
        <f t="shared" si="27"/>
        <v>0.75</v>
      </c>
      <c r="I43" s="334"/>
      <c r="J43" s="334"/>
      <c r="K43" s="335"/>
      <c r="L43" s="335"/>
      <c r="M43" s="336"/>
      <c r="N43" s="332">
        <f>ROUND(AVERAGE(5-4*(M43)/(M9)),1)</f>
        <v>5</v>
      </c>
      <c r="O43" s="337">
        <f t="shared" si="24"/>
        <v>0.75</v>
      </c>
      <c r="P43" s="334"/>
      <c r="Q43" s="334"/>
      <c r="R43" s="330"/>
      <c r="S43" s="330"/>
      <c r="T43" s="331"/>
      <c r="U43" s="341">
        <f>ROUND(AVERAGE(5-4*(T43)/(T9)),1)</f>
        <v>5</v>
      </c>
      <c r="V43" s="337">
        <f t="shared" si="5"/>
        <v>0.75</v>
      </c>
      <c r="W43" s="330"/>
      <c r="X43" s="339"/>
      <c r="Y43" s="340"/>
      <c r="Z43" s="341">
        <f>ROUND(AVERAGE(5-4*(Y43)/(Y9)),1)</f>
        <v>5</v>
      </c>
      <c r="AA43" s="337">
        <f t="shared" si="7"/>
        <v>0.75</v>
      </c>
      <c r="AB43" s="342"/>
      <c r="AC43" s="341">
        <f t="shared" si="8"/>
        <v>5</v>
      </c>
      <c r="AD43" s="337">
        <f t="shared" si="9"/>
        <v>0.5</v>
      </c>
      <c r="AE43" s="330"/>
      <c r="AF43" s="343">
        <f t="shared" si="10"/>
        <v>5</v>
      </c>
      <c r="AG43" s="337">
        <f t="shared" si="11"/>
        <v>1.5</v>
      </c>
      <c r="AH43" s="340"/>
      <c r="AI43" s="331"/>
      <c r="AJ43" s="340"/>
      <c r="AK43" s="341">
        <f>ROUND(AVERAGE(5-4*(AJ43)/(AJ9)),1)</f>
        <v>5</v>
      </c>
      <c r="AL43" s="337">
        <f t="shared" si="13"/>
        <v>0.75</v>
      </c>
      <c r="AM43" s="331"/>
      <c r="AN43" s="331"/>
      <c r="AO43" s="340"/>
      <c r="AP43" s="341">
        <f>ROUND(AVERAGE(5-4*(AO43)/(AO9)),1)</f>
        <v>5</v>
      </c>
      <c r="AQ43" s="344">
        <f t="shared" si="15"/>
        <v>0.75</v>
      </c>
      <c r="AR43" s="331"/>
      <c r="AS43" s="331"/>
      <c r="AT43" s="340"/>
      <c r="AU43" s="345">
        <f>ROUND(AVERAGE(5-4*(AT43)/(AT9)),1)</f>
        <v>5</v>
      </c>
      <c r="AV43" s="346">
        <f t="shared" si="17"/>
        <v>0.75</v>
      </c>
      <c r="AW43" s="331"/>
      <c r="AX43" s="331"/>
      <c r="AY43" s="331"/>
      <c r="AZ43" s="331"/>
      <c r="BA43" s="345">
        <f>ROUND(AVERAGE(5-4*(AZ43)/(AZ9)),1)</f>
        <v>5</v>
      </c>
      <c r="BB43" s="346">
        <f t="shared" si="19"/>
        <v>0.75</v>
      </c>
      <c r="BC43" s="336">
        <v>3</v>
      </c>
      <c r="BD43" s="345">
        <f>5-(4*BC43/BC9)</f>
        <v>4.5555555555555554</v>
      </c>
      <c r="BE43" s="346">
        <f t="shared" si="20"/>
        <v>0.45555555555555555</v>
      </c>
      <c r="BF43" s="336"/>
      <c r="BG43" s="349">
        <f>ROUND(AVERAGE(5-4*(BF43)/(BF9)),1)</f>
        <v>5</v>
      </c>
      <c r="BH43" s="346">
        <f t="shared" si="21"/>
        <v>1.5</v>
      </c>
      <c r="BI43" s="348" t="s">
        <v>93</v>
      </c>
      <c r="BJ43" s="348" t="s">
        <v>93</v>
      </c>
      <c r="BK43" s="348" t="s">
        <v>95</v>
      </c>
      <c r="BL43" s="350">
        <v>45550</v>
      </c>
    </row>
    <row r="44" spans="1:64" s="20" customFormat="1" ht="14.25" customHeight="1" x14ac:dyDescent="0.3">
      <c r="A44" s="327">
        <v>34</v>
      </c>
      <c r="B44" s="328" t="s">
        <v>280</v>
      </c>
      <c r="C44" s="329" t="s">
        <v>281</v>
      </c>
      <c r="D44" s="330"/>
      <c r="E44" s="330"/>
      <c r="F44" s="331"/>
      <c r="G44" s="332">
        <f>ROUND(AVERAGE(5-4*(F44)/(F9)),1)</f>
        <v>5</v>
      </c>
      <c r="H44" s="333">
        <f t="shared" si="27"/>
        <v>0.75</v>
      </c>
      <c r="I44" s="334"/>
      <c r="J44" s="334"/>
      <c r="K44" s="369"/>
      <c r="L44" s="369"/>
      <c r="M44" s="336"/>
      <c r="N44" s="332">
        <f>ROUND(AVERAGE(5-4*(M44)/(M9)),1)</f>
        <v>5</v>
      </c>
      <c r="O44" s="337">
        <f t="shared" si="24"/>
        <v>0.75</v>
      </c>
      <c r="P44" s="334"/>
      <c r="Q44" s="334"/>
      <c r="R44" s="330"/>
      <c r="S44" s="330"/>
      <c r="T44" s="331"/>
      <c r="U44" s="341">
        <f>ROUND(AVERAGE(5-4*(T44)/(T9)),1)</f>
        <v>5</v>
      </c>
      <c r="V44" s="337">
        <f t="shared" si="5"/>
        <v>0.75</v>
      </c>
      <c r="W44" s="330"/>
      <c r="X44" s="370"/>
      <c r="Y44" s="340"/>
      <c r="Z44" s="341">
        <f>ROUND(AVERAGE(5-4*(Y44)/(Y9)),1)</f>
        <v>5</v>
      </c>
      <c r="AA44" s="337">
        <f t="shared" si="7"/>
        <v>0.75</v>
      </c>
      <c r="AB44" s="342"/>
      <c r="AC44" s="341">
        <f t="shared" si="8"/>
        <v>5</v>
      </c>
      <c r="AD44" s="337">
        <f t="shared" si="9"/>
        <v>0.5</v>
      </c>
      <c r="AE44" s="330"/>
      <c r="AF44" s="343">
        <f>ROUND(AVERAGE(5-4*(AE44)/(70)),1)</f>
        <v>5</v>
      </c>
      <c r="AG44" s="337">
        <f t="shared" si="11"/>
        <v>1.5</v>
      </c>
      <c r="AH44" s="340"/>
      <c r="AI44" s="331"/>
      <c r="AJ44" s="340"/>
      <c r="AK44" s="341">
        <f>ROUND(AVERAGE(5-4*(AJ44)/(AJ9)),1)</f>
        <v>5</v>
      </c>
      <c r="AL44" s="337">
        <f t="shared" si="13"/>
        <v>0.75</v>
      </c>
      <c r="AM44" s="331"/>
      <c r="AN44" s="331"/>
      <c r="AO44" s="340"/>
      <c r="AP44" s="341">
        <f>ROUND(AVERAGE(5-4*(AO44)/(AO9)),1)</f>
        <v>5</v>
      </c>
      <c r="AQ44" s="344">
        <f t="shared" si="15"/>
        <v>0.75</v>
      </c>
      <c r="AR44" s="331"/>
      <c r="AS44" s="331"/>
      <c r="AT44" s="340"/>
      <c r="AU44" s="345">
        <f>ROUND(AVERAGE(5-4*(AT44)/(AT9)),1)</f>
        <v>5</v>
      </c>
      <c r="AV44" s="346">
        <f t="shared" si="17"/>
        <v>0.75</v>
      </c>
      <c r="AW44" s="331"/>
      <c r="AX44" s="331"/>
      <c r="AY44" s="331"/>
      <c r="AZ44" s="331"/>
      <c r="BA44" s="345">
        <f>ROUND(AVERAGE(5-4*(AZ44)/(AZ9)),1)</f>
        <v>5</v>
      </c>
      <c r="BB44" s="346">
        <f t="shared" si="19"/>
        <v>0.75</v>
      </c>
      <c r="BC44" s="336">
        <v>3</v>
      </c>
      <c r="BD44" s="345">
        <f>5-(4*BC44/BC9)</f>
        <v>4.5555555555555554</v>
      </c>
      <c r="BE44" s="346">
        <f t="shared" si="20"/>
        <v>0.45555555555555555</v>
      </c>
      <c r="BF44" s="336"/>
      <c r="BG44" s="349">
        <f>ROUND(AVERAGE(5-4*(BF44)/(BF9)),1)</f>
        <v>5</v>
      </c>
      <c r="BH44" s="346">
        <f t="shared" si="21"/>
        <v>1.5</v>
      </c>
      <c r="BI44" s="348" t="s">
        <v>93</v>
      </c>
      <c r="BJ44" s="348" t="s">
        <v>93</v>
      </c>
      <c r="BK44" s="348" t="s">
        <v>95</v>
      </c>
      <c r="BL44" s="350">
        <v>45550</v>
      </c>
    </row>
    <row r="45" spans="1:64" s="20" customFormat="1" ht="15" customHeight="1" x14ac:dyDescent="0.3">
      <c r="A45" s="272">
        <v>35</v>
      </c>
      <c r="B45" s="273" t="s">
        <v>282</v>
      </c>
      <c r="C45" s="237" t="s">
        <v>283</v>
      </c>
      <c r="D45" s="202">
        <v>39</v>
      </c>
      <c r="E45" s="202">
        <v>33</v>
      </c>
      <c r="F45" s="207">
        <f t="shared" si="0"/>
        <v>72</v>
      </c>
      <c r="G45" s="267">
        <f>ROUND(AVERAGE(5-4*(F45)/(F9)),1)</f>
        <v>2.1</v>
      </c>
      <c r="H45" s="251">
        <f t="shared" si="27"/>
        <v>0.315</v>
      </c>
      <c r="I45" s="263"/>
      <c r="J45" s="263"/>
      <c r="K45" s="244">
        <v>36</v>
      </c>
      <c r="L45" s="244">
        <v>30</v>
      </c>
      <c r="M45" s="206">
        <f t="shared" si="3"/>
        <v>66</v>
      </c>
      <c r="N45" s="267">
        <f>ROUND(AVERAGE(5-4*(M45)/(M9)),1)</f>
        <v>2.4</v>
      </c>
      <c r="O45" s="212">
        <f t="shared" si="24"/>
        <v>0.36</v>
      </c>
      <c r="P45" s="263"/>
      <c r="Q45" s="263"/>
      <c r="R45" s="202">
        <v>40</v>
      </c>
      <c r="S45" s="202">
        <v>30</v>
      </c>
      <c r="T45" s="207">
        <f t="shared" si="4"/>
        <v>70</v>
      </c>
      <c r="U45" s="209">
        <f>ROUND(AVERAGE(5-4*(T45)/(T9)),1)</f>
        <v>2.2000000000000002</v>
      </c>
      <c r="V45" s="212">
        <f t="shared" si="5"/>
        <v>0.33</v>
      </c>
      <c r="W45" s="202">
        <v>88</v>
      </c>
      <c r="X45" s="241">
        <v>80</v>
      </c>
      <c r="Y45" s="203">
        <f t="shared" si="6"/>
        <v>168</v>
      </c>
      <c r="Z45" s="209">
        <f>ROUND(AVERAGE(5-4*(Y45)/(Y9)),1)</f>
        <v>1.6</v>
      </c>
      <c r="AA45" s="212">
        <f t="shared" si="7"/>
        <v>0.24</v>
      </c>
      <c r="AB45" s="218">
        <v>27</v>
      </c>
      <c r="AC45" s="209">
        <f t="shared" si="8"/>
        <v>1</v>
      </c>
      <c r="AD45" s="212">
        <f t="shared" si="9"/>
        <v>0.1</v>
      </c>
      <c r="AE45" s="202">
        <v>19</v>
      </c>
      <c r="AF45" s="211">
        <f t="shared" si="10"/>
        <v>3.9</v>
      </c>
      <c r="AG45" s="212">
        <f>AF45*0.3</f>
        <v>1.17</v>
      </c>
      <c r="AH45" s="203">
        <v>18</v>
      </c>
      <c r="AI45" s="207">
        <v>24</v>
      </c>
      <c r="AJ45" s="203">
        <f t="shared" si="12"/>
        <v>42</v>
      </c>
      <c r="AK45" s="209">
        <f>ROUND(AVERAGE(5-4*(AJ45)/(AJ9)),1)</f>
        <v>3.3</v>
      </c>
      <c r="AL45" s="212">
        <f t="shared" si="13"/>
        <v>0.49499999999999994</v>
      </c>
      <c r="AM45" s="207">
        <v>30</v>
      </c>
      <c r="AN45" s="207">
        <v>35</v>
      </c>
      <c r="AO45" s="203">
        <f t="shared" si="14"/>
        <v>65</v>
      </c>
      <c r="AP45" s="209">
        <f>ROUND(AVERAGE(5-4*(AO45)/(AO9)),1)</f>
        <v>2.4</v>
      </c>
      <c r="AQ45" s="215">
        <f t="shared" si="15"/>
        <v>0.36</v>
      </c>
      <c r="AR45" s="207"/>
      <c r="AS45" s="207">
        <v>35</v>
      </c>
      <c r="AT45" s="203">
        <f t="shared" si="16"/>
        <v>35</v>
      </c>
      <c r="AU45" s="213">
        <f>ROUND(AVERAGE(5-4*(AT45)/(AT9)),1)</f>
        <v>3.6</v>
      </c>
      <c r="AV45" s="214">
        <f t="shared" si="17"/>
        <v>0.54</v>
      </c>
      <c r="AW45" s="207">
        <v>80</v>
      </c>
      <c r="AX45" s="207">
        <v>80</v>
      </c>
      <c r="AY45" s="207">
        <v>85</v>
      </c>
      <c r="AZ45" s="207">
        <f t="shared" si="18"/>
        <v>245</v>
      </c>
      <c r="BA45" s="213">
        <f>ROUND(AVERAGE(5-4*(AZ45)/(AZ9)),1)</f>
        <v>1.7</v>
      </c>
      <c r="BB45" s="214">
        <f t="shared" si="19"/>
        <v>0.255</v>
      </c>
      <c r="BC45" s="216">
        <v>27</v>
      </c>
      <c r="BD45" s="213">
        <f>5-(4*BC45/BC9)</f>
        <v>1</v>
      </c>
      <c r="BE45" s="214">
        <f t="shared" si="20"/>
        <v>0.1</v>
      </c>
      <c r="BF45" s="206">
        <v>34</v>
      </c>
      <c r="BG45" s="217">
        <f>ROUND(AVERAGE(5-4*(BF45)/(BF9)),1)</f>
        <v>3.1</v>
      </c>
      <c r="BH45" s="242">
        <f t="shared" si="21"/>
        <v>0.92999999999999994</v>
      </c>
      <c r="BI45" s="216">
        <f t="shared" si="26"/>
        <v>2.5150000000000001</v>
      </c>
      <c r="BJ45" s="216">
        <f t="shared" si="22"/>
        <v>2.6799999999999997</v>
      </c>
      <c r="BK45" s="216">
        <f t="shared" si="23"/>
        <v>2.5975000000000001</v>
      </c>
      <c r="BL45" s="206" t="s">
        <v>91</v>
      </c>
    </row>
    <row r="46" spans="1:64" s="20" customFormat="1" ht="15" customHeight="1" x14ac:dyDescent="0.3">
      <c r="A46" s="327">
        <v>36</v>
      </c>
      <c r="B46" s="328" t="s">
        <v>284</v>
      </c>
      <c r="C46" s="329" t="s">
        <v>285</v>
      </c>
      <c r="D46" s="330"/>
      <c r="E46" s="330"/>
      <c r="F46" s="331"/>
      <c r="G46" s="332">
        <f>ROUND(AVERAGE(5-4*(F46)/(F9)),1)</f>
        <v>5</v>
      </c>
      <c r="H46" s="333">
        <f t="shared" si="27"/>
        <v>0.75</v>
      </c>
      <c r="I46" s="334"/>
      <c r="J46" s="334"/>
      <c r="K46" s="335"/>
      <c r="L46" s="335"/>
      <c r="M46" s="336"/>
      <c r="N46" s="332">
        <f>ROUND(AVERAGE(5-4*(M46)/(M9)),1)</f>
        <v>5</v>
      </c>
      <c r="O46" s="337">
        <f t="shared" si="24"/>
        <v>0.75</v>
      </c>
      <c r="P46" s="334"/>
      <c r="Q46" s="334"/>
      <c r="R46" s="330"/>
      <c r="S46" s="330"/>
      <c r="T46" s="331"/>
      <c r="U46" s="341">
        <f>ROUND(AVERAGE(5-4*(T46)/(T9)),1)</f>
        <v>5</v>
      </c>
      <c r="V46" s="337">
        <f t="shared" si="5"/>
        <v>0.75</v>
      </c>
      <c r="W46" s="330"/>
      <c r="X46" s="339"/>
      <c r="Y46" s="340"/>
      <c r="Z46" s="341">
        <f>ROUND(AVERAGE(5-4*(Y46)/(Y9)),1)</f>
        <v>5</v>
      </c>
      <c r="AA46" s="337">
        <f t="shared" si="7"/>
        <v>0.75</v>
      </c>
      <c r="AB46" s="342"/>
      <c r="AC46" s="341">
        <f t="shared" si="8"/>
        <v>5</v>
      </c>
      <c r="AD46" s="337">
        <f>AC46*0.1</f>
        <v>0.5</v>
      </c>
      <c r="AE46" s="330"/>
      <c r="AF46" s="343">
        <f t="shared" si="10"/>
        <v>5</v>
      </c>
      <c r="AG46" s="337">
        <f t="shared" si="11"/>
        <v>1.5</v>
      </c>
      <c r="AH46" s="340"/>
      <c r="AI46" s="331"/>
      <c r="AJ46" s="340"/>
      <c r="AK46" s="341">
        <f>ROUND(AVERAGE(5-4*(AJ46)/(AJ9)),1)</f>
        <v>5</v>
      </c>
      <c r="AL46" s="337">
        <f t="shared" si="13"/>
        <v>0.75</v>
      </c>
      <c r="AM46" s="331"/>
      <c r="AN46" s="331"/>
      <c r="AO46" s="340"/>
      <c r="AP46" s="341">
        <f>ROUND(AVERAGE(5-4*(AO46)/(AO9)),1)</f>
        <v>5</v>
      </c>
      <c r="AQ46" s="344">
        <f t="shared" si="15"/>
        <v>0.75</v>
      </c>
      <c r="AR46" s="331"/>
      <c r="AS46" s="331"/>
      <c r="AT46" s="340"/>
      <c r="AU46" s="345">
        <f>ROUND(AVERAGE(5-4*(AT46)/(AT9)),1)</f>
        <v>5</v>
      </c>
      <c r="AV46" s="346">
        <f t="shared" si="17"/>
        <v>0.75</v>
      </c>
      <c r="AW46" s="331"/>
      <c r="AX46" s="331"/>
      <c r="AY46" s="331"/>
      <c r="AZ46" s="331"/>
      <c r="BA46" s="345">
        <f>ROUND(AVERAGE(5-4*(AZ46)/(AZ9)),1)</f>
        <v>5</v>
      </c>
      <c r="BB46" s="346">
        <f t="shared" si="19"/>
        <v>0.75</v>
      </c>
      <c r="BC46" s="336">
        <v>3</v>
      </c>
      <c r="BD46" s="345">
        <f>5-(4*BC46/BC9)</f>
        <v>4.5555555555555554</v>
      </c>
      <c r="BE46" s="346">
        <f t="shared" si="20"/>
        <v>0.45555555555555555</v>
      </c>
      <c r="BF46" s="336"/>
      <c r="BG46" s="349">
        <f>ROUND(AVERAGE(5-4*(BF46)/(BF9)),1)</f>
        <v>5</v>
      </c>
      <c r="BH46" s="346">
        <f>BG46*0.3</f>
        <v>1.5</v>
      </c>
      <c r="BI46" s="348" t="s">
        <v>93</v>
      </c>
      <c r="BJ46" s="348" t="s">
        <v>93</v>
      </c>
      <c r="BK46" s="348" t="s">
        <v>95</v>
      </c>
      <c r="BL46" s="350">
        <v>45550</v>
      </c>
    </row>
    <row r="47" spans="1:64" s="20" customFormat="1" ht="15.75" customHeight="1" x14ac:dyDescent="0.3">
      <c r="A47" s="272">
        <v>37</v>
      </c>
      <c r="B47" s="273" t="s">
        <v>286</v>
      </c>
      <c r="C47" s="237" t="s">
        <v>287</v>
      </c>
      <c r="D47" s="202">
        <v>31</v>
      </c>
      <c r="E47" s="202">
        <v>35</v>
      </c>
      <c r="F47" s="207">
        <f t="shared" si="0"/>
        <v>66</v>
      </c>
      <c r="G47" s="267">
        <f>ROUND(AVERAGE(5-4*(F47)/(F9)),1)</f>
        <v>2.4</v>
      </c>
      <c r="H47" s="251">
        <f t="shared" si="27"/>
        <v>0.36</v>
      </c>
      <c r="I47" s="263"/>
      <c r="J47" s="263"/>
      <c r="K47" s="205">
        <v>36</v>
      </c>
      <c r="L47" s="205">
        <v>33</v>
      </c>
      <c r="M47" s="206">
        <f t="shared" si="3"/>
        <v>69</v>
      </c>
      <c r="N47" s="267">
        <f>ROUND(AVERAGE(5-4*(M47)/(M9)),1)</f>
        <v>2.2000000000000002</v>
      </c>
      <c r="O47" s="212">
        <f t="shared" si="24"/>
        <v>0.33</v>
      </c>
      <c r="P47" s="263"/>
      <c r="Q47" s="263"/>
      <c r="R47" s="202">
        <v>35</v>
      </c>
      <c r="S47" s="202">
        <v>33</v>
      </c>
      <c r="T47" s="207">
        <f t="shared" si="4"/>
        <v>68</v>
      </c>
      <c r="U47" s="209">
        <f>ROUND(AVERAGE(5-4*(T47)/(T9)),1)</f>
        <v>2.2999999999999998</v>
      </c>
      <c r="V47" s="212">
        <f t="shared" si="5"/>
        <v>0.34499999999999997</v>
      </c>
      <c r="W47" s="202">
        <v>100</v>
      </c>
      <c r="X47" s="208">
        <v>90</v>
      </c>
      <c r="Y47" s="203">
        <f t="shared" si="6"/>
        <v>190</v>
      </c>
      <c r="Z47" s="209">
        <f>ROUND(AVERAGE(5-4*(Y47)/(Y9)),1)</f>
        <v>1.2</v>
      </c>
      <c r="AA47" s="212">
        <f t="shared" si="7"/>
        <v>0.18</v>
      </c>
      <c r="AB47" s="218">
        <v>27</v>
      </c>
      <c r="AC47" s="209">
        <f t="shared" si="8"/>
        <v>1</v>
      </c>
      <c r="AD47" s="212">
        <f t="shared" si="9"/>
        <v>0.1</v>
      </c>
      <c r="AE47" s="202">
        <v>28</v>
      </c>
      <c r="AF47" s="211">
        <f t="shared" si="10"/>
        <v>3.4</v>
      </c>
      <c r="AG47" s="212">
        <f t="shared" si="11"/>
        <v>1.02</v>
      </c>
      <c r="AH47" s="203">
        <v>26</v>
      </c>
      <c r="AI47" s="207">
        <v>6</v>
      </c>
      <c r="AJ47" s="203">
        <f t="shared" si="12"/>
        <v>32</v>
      </c>
      <c r="AK47" s="209">
        <f>ROUND(AVERAGE(5-4*(AJ47)/(AJ9)),1)</f>
        <v>3.7</v>
      </c>
      <c r="AL47" s="212">
        <f t="shared" si="13"/>
        <v>0.55500000000000005</v>
      </c>
      <c r="AM47" s="207">
        <v>34</v>
      </c>
      <c r="AN47" s="207">
        <v>32</v>
      </c>
      <c r="AO47" s="203">
        <f t="shared" si="14"/>
        <v>66</v>
      </c>
      <c r="AP47" s="209">
        <f>ROUND(AVERAGE(5-4*(AO47)/(AO9)),1)</f>
        <v>2.4</v>
      </c>
      <c r="AQ47" s="215">
        <f t="shared" si="15"/>
        <v>0.36</v>
      </c>
      <c r="AR47" s="207">
        <v>34</v>
      </c>
      <c r="AS47" s="207">
        <v>32</v>
      </c>
      <c r="AT47" s="203">
        <f t="shared" si="16"/>
        <v>66</v>
      </c>
      <c r="AU47" s="213">
        <f>ROUND(AVERAGE(5-4*(AT47)/(AT9)),1)</f>
        <v>2.4</v>
      </c>
      <c r="AV47" s="214">
        <f>AU47*0.15</f>
        <v>0.36</v>
      </c>
      <c r="AW47" s="207">
        <v>85</v>
      </c>
      <c r="AX47" s="207">
        <v>85</v>
      </c>
      <c r="AY47" s="207">
        <v>85</v>
      </c>
      <c r="AZ47" s="207">
        <f t="shared" si="18"/>
        <v>255</v>
      </c>
      <c r="BA47" s="213">
        <f>ROUND(AVERAGE(5-4*(AZ47)/(AZ9)),1)</f>
        <v>1.6</v>
      </c>
      <c r="BB47" s="214">
        <f t="shared" si="19"/>
        <v>0.24</v>
      </c>
      <c r="BC47" s="216">
        <v>27</v>
      </c>
      <c r="BD47" s="213">
        <f>5-(4*BC47/BC9)</f>
        <v>1</v>
      </c>
      <c r="BE47" s="214">
        <f t="shared" si="20"/>
        <v>0.1</v>
      </c>
      <c r="BF47" s="206">
        <v>37</v>
      </c>
      <c r="BG47" s="217">
        <f>ROUND(AVERAGE(5-4*(BF47)/(BF9)),1)</f>
        <v>2.9</v>
      </c>
      <c r="BH47" s="242">
        <f t="shared" si="21"/>
        <v>0.87</v>
      </c>
      <c r="BI47" s="216">
        <f t="shared" si="26"/>
        <v>2.335</v>
      </c>
      <c r="BJ47" s="216">
        <f t="shared" si="22"/>
        <v>2.4849999999999999</v>
      </c>
      <c r="BK47" s="216">
        <f t="shared" si="23"/>
        <v>2.41</v>
      </c>
      <c r="BL47" s="206" t="s">
        <v>91</v>
      </c>
    </row>
    <row r="48" spans="1:64" s="20" customFormat="1" ht="13.5" customHeight="1" x14ac:dyDescent="0.3">
      <c r="A48" s="272">
        <v>38</v>
      </c>
      <c r="B48" s="273" t="s">
        <v>288</v>
      </c>
      <c r="C48" s="237" t="s">
        <v>289</v>
      </c>
      <c r="D48" s="202">
        <v>40</v>
      </c>
      <c r="E48" s="202">
        <v>32</v>
      </c>
      <c r="F48" s="207">
        <f t="shared" si="0"/>
        <v>72</v>
      </c>
      <c r="G48" s="267">
        <f>ROUND(AVERAGE(5-4*(F48)/(F9)),1)</f>
        <v>2.1</v>
      </c>
      <c r="H48" s="251">
        <f t="shared" si="27"/>
        <v>0.315</v>
      </c>
      <c r="I48" s="263"/>
      <c r="J48" s="263"/>
      <c r="K48" s="205">
        <v>39</v>
      </c>
      <c r="L48" s="205">
        <v>34</v>
      </c>
      <c r="M48" s="206">
        <f t="shared" si="3"/>
        <v>73</v>
      </c>
      <c r="N48" s="267">
        <f>ROUND(AVERAGE(5-4*(M48)/(M9)),1)</f>
        <v>2.1</v>
      </c>
      <c r="O48" s="212">
        <f t="shared" si="24"/>
        <v>0.315</v>
      </c>
      <c r="P48" s="263"/>
      <c r="Q48" s="263"/>
      <c r="R48" s="202">
        <v>35</v>
      </c>
      <c r="S48" s="202">
        <v>30</v>
      </c>
      <c r="T48" s="207">
        <f t="shared" si="4"/>
        <v>65</v>
      </c>
      <c r="U48" s="209">
        <f>ROUND(AVERAGE(5-4*(T48)/(T9)),1)</f>
        <v>2.4</v>
      </c>
      <c r="V48" s="212">
        <f t="shared" si="5"/>
        <v>0.36</v>
      </c>
      <c r="W48" s="202">
        <v>90</v>
      </c>
      <c r="X48" s="208">
        <v>80</v>
      </c>
      <c r="Y48" s="203">
        <f t="shared" si="6"/>
        <v>170</v>
      </c>
      <c r="Z48" s="209">
        <f>ROUND(AVERAGE(5-4*(Y48)/(Y9)),1)</f>
        <v>1.6</v>
      </c>
      <c r="AA48" s="212">
        <f t="shared" si="7"/>
        <v>0.24</v>
      </c>
      <c r="AB48" s="218">
        <v>27</v>
      </c>
      <c r="AC48" s="209">
        <f t="shared" si="8"/>
        <v>1</v>
      </c>
      <c r="AD48" s="212">
        <f t="shared" si="9"/>
        <v>0.1</v>
      </c>
      <c r="AE48" s="202">
        <v>34</v>
      </c>
      <c r="AF48" s="211">
        <f t="shared" si="10"/>
        <v>3.1</v>
      </c>
      <c r="AG48" s="212">
        <f t="shared" si="11"/>
        <v>0.92999999999999994</v>
      </c>
      <c r="AH48" s="203">
        <v>30</v>
      </c>
      <c r="AI48" s="207">
        <v>11</v>
      </c>
      <c r="AJ48" s="203">
        <f t="shared" si="12"/>
        <v>41</v>
      </c>
      <c r="AK48" s="209">
        <f>ROUND(AVERAGE(5-4*(AJ48)/(AJ9)),1)</f>
        <v>3.4</v>
      </c>
      <c r="AL48" s="212">
        <f t="shared" si="13"/>
        <v>0.51</v>
      </c>
      <c r="AM48" s="207">
        <v>32</v>
      </c>
      <c r="AN48" s="207">
        <v>35</v>
      </c>
      <c r="AO48" s="203">
        <f t="shared" si="14"/>
        <v>67</v>
      </c>
      <c r="AP48" s="209">
        <f>ROUND(AVERAGE(5-4*(AO48)/(AO9)),1)</f>
        <v>2.2999999999999998</v>
      </c>
      <c r="AQ48" s="215">
        <f t="shared" si="15"/>
        <v>0.34499999999999997</v>
      </c>
      <c r="AR48" s="207">
        <v>30</v>
      </c>
      <c r="AS48" s="207">
        <v>33</v>
      </c>
      <c r="AT48" s="203">
        <f t="shared" si="16"/>
        <v>63</v>
      </c>
      <c r="AU48" s="213">
        <f>ROUND(AVERAGE(5-4*(AT48)/(AT9)),1)</f>
        <v>2.5</v>
      </c>
      <c r="AV48" s="214">
        <f t="shared" si="17"/>
        <v>0.375</v>
      </c>
      <c r="AW48" s="207">
        <v>85</v>
      </c>
      <c r="AX48" s="207">
        <v>88</v>
      </c>
      <c r="AY48" s="207">
        <v>87</v>
      </c>
      <c r="AZ48" s="207">
        <f t="shared" si="18"/>
        <v>260</v>
      </c>
      <c r="BA48" s="213">
        <f>ROUND(AVERAGE(5-4*(AZ48)/(AZ9)),1)</f>
        <v>1.5</v>
      </c>
      <c r="BB48" s="214">
        <f t="shared" si="19"/>
        <v>0.22499999999999998</v>
      </c>
      <c r="BC48" s="216">
        <v>27</v>
      </c>
      <c r="BD48" s="213">
        <f>5-(4*BC48/BC9)</f>
        <v>1</v>
      </c>
      <c r="BE48" s="214">
        <f t="shared" si="20"/>
        <v>0.1</v>
      </c>
      <c r="BF48" s="206">
        <v>34</v>
      </c>
      <c r="BG48" s="217">
        <f>ROUND(AVERAGE(5-4*(BF48)/(BF9)),1)</f>
        <v>3.1</v>
      </c>
      <c r="BH48" s="242">
        <f t="shared" si="21"/>
        <v>0.92999999999999994</v>
      </c>
      <c r="BI48" s="216">
        <f t="shared" si="26"/>
        <v>2.2599999999999998</v>
      </c>
      <c r="BJ48" s="216">
        <f t="shared" si="22"/>
        <v>2.4850000000000003</v>
      </c>
      <c r="BK48" s="216">
        <f t="shared" si="23"/>
        <v>2.3725000000000001</v>
      </c>
      <c r="BL48" s="206" t="s">
        <v>91</v>
      </c>
    </row>
    <row r="49" spans="1:64" ht="15.75" customHeight="1" x14ac:dyDescent="0.3">
      <c r="A49" s="63">
        <v>39</v>
      </c>
      <c r="B49" s="273" t="s">
        <v>290</v>
      </c>
      <c r="C49" s="237" t="s">
        <v>291</v>
      </c>
      <c r="D49" s="241">
        <v>40</v>
      </c>
      <c r="E49" s="241">
        <v>35</v>
      </c>
      <c r="F49" s="207">
        <f t="shared" si="0"/>
        <v>75</v>
      </c>
      <c r="G49" s="267">
        <f>ROUND(AVERAGE(5-4*(F49)/(F9)),1)</f>
        <v>2</v>
      </c>
      <c r="H49" s="251">
        <f t="shared" si="27"/>
        <v>0.3</v>
      </c>
      <c r="I49" s="263"/>
      <c r="J49" s="263"/>
      <c r="K49" s="244">
        <v>37</v>
      </c>
      <c r="L49" s="244">
        <v>37</v>
      </c>
      <c r="M49" s="206">
        <f t="shared" si="3"/>
        <v>74</v>
      </c>
      <c r="N49" s="267">
        <f>ROUND(AVERAGE(5-4*(M49)/(M9)),1)</f>
        <v>2</v>
      </c>
      <c r="O49" s="212">
        <f t="shared" si="24"/>
        <v>0.3</v>
      </c>
      <c r="P49" s="263"/>
      <c r="Q49" s="263"/>
      <c r="R49" s="241">
        <v>43</v>
      </c>
      <c r="S49" s="241">
        <v>30</v>
      </c>
      <c r="T49" s="207">
        <f t="shared" si="4"/>
        <v>73</v>
      </c>
      <c r="U49" s="209">
        <f>ROUND(AVERAGE(5-4*(T49)/(T9)),1)</f>
        <v>2.1</v>
      </c>
      <c r="V49" s="212">
        <f t="shared" si="5"/>
        <v>0.315</v>
      </c>
      <c r="W49" s="241">
        <v>100</v>
      </c>
      <c r="X49" s="241">
        <v>95</v>
      </c>
      <c r="Y49" s="203">
        <f t="shared" si="6"/>
        <v>195</v>
      </c>
      <c r="Z49" s="209">
        <f>ROUND(AVERAGE(5-4*(Y49)/(Y9)),1)</f>
        <v>1.1000000000000001</v>
      </c>
      <c r="AA49" s="212">
        <f t="shared" si="7"/>
        <v>0.16500000000000001</v>
      </c>
      <c r="AB49" s="218">
        <v>27</v>
      </c>
      <c r="AC49" s="209">
        <f t="shared" si="8"/>
        <v>1</v>
      </c>
      <c r="AD49" s="212">
        <f t="shared" si="9"/>
        <v>0.1</v>
      </c>
      <c r="AE49" s="241">
        <v>47</v>
      </c>
      <c r="AF49" s="211">
        <f t="shared" si="10"/>
        <v>2.2999999999999998</v>
      </c>
      <c r="AG49" s="212">
        <f t="shared" si="11"/>
        <v>0.69</v>
      </c>
      <c r="AH49" s="203">
        <v>25</v>
      </c>
      <c r="AI49" s="207">
        <v>30</v>
      </c>
      <c r="AJ49" s="203">
        <f t="shared" si="12"/>
        <v>55</v>
      </c>
      <c r="AK49" s="209">
        <f>ROUND(AVERAGE(5-4*(AJ49)/(AJ9)),1)</f>
        <v>2.8</v>
      </c>
      <c r="AL49" s="212">
        <f t="shared" si="13"/>
        <v>0.42</v>
      </c>
      <c r="AM49" s="207">
        <v>42</v>
      </c>
      <c r="AN49" s="207">
        <v>43</v>
      </c>
      <c r="AO49" s="203">
        <f t="shared" si="14"/>
        <v>85</v>
      </c>
      <c r="AP49" s="209">
        <f>ROUND(AVERAGE(5-4*(AO49)/(AO9)),1)</f>
        <v>1.6</v>
      </c>
      <c r="AQ49" s="214">
        <f t="shared" si="15"/>
        <v>0.24</v>
      </c>
      <c r="AR49" s="207">
        <v>35</v>
      </c>
      <c r="AS49" s="207">
        <v>40</v>
      </c>
      <c r="AT49" s="203">
        <f t="shared" si="16"/>
        <v>75</v>
      </c>
      <c r="AU49" s="213">
        <f>ROUND(AVERAGE(5-4*(AT49)/(AT9)),1)</f>
        <v>2</v>
      </c>
      <c r="AV49" s="214">
        <f t="shared" si="17"/>
        <v>0.3</v>
      </c>
      <c r="AW49" s="207">
        <v>100</v>
      </c>
      <c r="AX49" s="207">
        <v>100</v>
      </c>
      <c r="AY49" s="207">
        <v>100</v>
      </c>
      <c r="AZ49" s="207">
        <f t="shared" si="18"/>
        <v>300</v>
      </c>
      <c r="BA49" s="213">
        <f>ROUND(AVERAGE(5-4*(AZ49)/(AZ9)),1)</f>
        <v>1</v>
      </c>
      <c r="BB49" s="214">
        <f t="shared" si="19"/>
        <v>0.15</v>
      </c>
      <c r="BC49" s="216">
        <v>27</v>
      </c>
      <c r="BD49" s="213">
        <f>5-(4*BC49/BC9)</f>
        <v>1</v>
      </c>
      <c r="BE49" s="214">
        <f t="shared" si="20"/>
        <v>0.1</v>
      </c>
      <c r="BF49" s="206">
        <v>41</v>
      </c>
      <c r="BG49" s="217">
        <f>ROUND(AVERAGE(5-4*(BF49)/(BF9)),1)</f>
        <v>2.7</v>
      </c>
      <c r="BH49" s="214">
        <f t="shared" si="21"/>
        <v>0.81</v>
      </c>
      <c r="BI49" s="216">
        <f t="shared" si="26"/>
        <v>1.87</v>
      </c>
      <c r="BJ49" s="216">
        <f t="shared" si="22"/>
        <v>2.02</v>
      </c>
      <c r="BK49" s="216">
        <f t="shared" si="23"/>
        <v>1.9450000000000001</v>
      </c>
      <c r="BL49" s="206" t="s">
        <v>91</v>
      </c>
    </row>
    <row r="50" spans="1:64" ht="12.75" customHeight="1" x14ac:dyDescent="0.3">
      <c r="A50" s="272">
        <v>40</v>
      </c>
      <c r="B50" s="273" t="s">
        <v>292</v>
      </c>
      <c r="C50" s="237" t="s">
        <v>293</v>
      </c>
      <c r="D50" s="202">
        <v>40</v>
      </c>
      <c r="E50" s="202">
        <v>33</v>
      </c>
      <c r="F50" s="207">
        <f t="shared" si="0"/>
        <v>73</v>
      </c>
      <c r="G50" s="267">
        <f>ROUND(AVERAGE(5-4*(F50)/(F9)),1)</f>
        <v>2.1</v>
      </c>
      <c r="H50" s="251">
        <f t="shared" si="27"/>
        <v>0.315</v>
      </c>
      <c r="I50" s="263"/>
      <c r="J50" s="263"/>
      <c r="K50" s="205">
        <v>40</v>
      </c>
      <c r="L50" s="205">
        <v>42</v>
      </c>
      <c r="M50" s="206">
        <f t="shared" si="3"/>
        <v>82</v>
      </c>
      <c r="N50" s="267">
        <f>ROUND(AVERAGE(5-4*(M50)/(M9)),1)</f>
        <v>1.7</v>
      </c>
      <c r="O50" s="212">
        <f t="shared" si="24"/>
        <v>0.255</v>
      </c>
      <c r="P50" s="263"/>
      <c r="Q50" s="263"/>
      <c r="R50" s="202">
        <v>40</v>
      </c>
      <c r="S50" s="202">
        <v>40</v>
      </c>
      <c r="T50" s="207">
        <f t="shared" si="4"/>
        <v>80</v>
      </c>
      <c r="U50" s="209">
        <f>ROUND(AVERAGE(5-4*(T50)/(T9)),1)</f>
        <v>1.8</v>
      </c>
      <c r="V50" s="212">
        <f t="shared" si="5"/>
        <v>0.27</v>
      </c>
      <c r="W50" s="202">
        <v>100</v>
      </c>
      <c r="X50" s="208">
        <v>100</v>
      </c>
      <c r="Y50" s="203">
        <f t="shared" si="6"/>
        <v>200</v>
      </c>
      <c r="Z50" s="209">
        <f>ROUND(AVERAGE(5-4*(Y50)/(Y9)),1)</f>
        <v>1</v>
      </c>
      <c r="AA50" s="212">
        <f t="shared" si="7"/>
        <v>0.15</v>
      </c>
      <c r="AB50" s="218">
        <v>27</v>
      </c>
      <c r="AC50" s="209">
        <f t="shared" si="8"/>
        <v>1</v>
      </c>
      <c r="AD50" s="212">
        <f t="shared" si="9"/>
        <v>0.1</v>
      </c>
      <c r="AE50" s="202">
        <v>38</v>
      </c>
      <c r="AF50" s="211">
        <f t="shared" si="10"/>
        <v>2.8</v>
      </c>
      <c r="AG50" s="212">
        <f t="shared" si="11"/>
        <v>0.84</v>
      </c>
      <c r="AH50" s="203">
        <v>35</v>
      </c>
      <c r="AI50" s="207">
        <v>20</v>
      </c>
      <c r="AJ50" s="203">
        <f t="shared" si="12"/>
        <v>55</v>
      </c>
      <c r="AK50" s="209">
        <f>ROUND(AVERAGE(5-4*(AJ50)/(AJ9)),1)</f>
        <v>2.8</v>
      </c>
      <c r="AL50" s="212">
        <f t="shared" si="13"/>
        <v>0.42</v>
      </c>
      <c r="AM50" s="207">
        <v>38</v>
      </c>
      <c r="AN50" s="207">
        <v>42</v>
      </c>
      <c r="AO50" s="203">
        <f t="shared" si="14"/>
        <v>80</v>
      </c>
      <c r="AP50" s="209">
        <f>ROUND(AVERAGE(5-4*(AO50)/(AO9)),1)</f>
        <v>1.8</v>
      </c>
      <c r="AQ50" s="215">
        <f t="shared" si="15"/>
        <v>0.27</v>
      </c>
      <c r="AR50" s="207">
        <v>38</v>
      </c>
      <c r="AS50" s="207">
        <v>42</v>
      </c>
      <c r="AT50" s="203">
        <f t="shared" si="16"/>
        <v>80</v>
      </c>
      <c r="AU50" s="213">
        <f>ROUND(AVERAGE(5-4*(AT50)/(AT9)),1)</f>
        <v>1.8</v>
      </c>
      <c r="AV50" s="214">
        <f t="shared" si="17"/>
        <v>0.27</v>
      </c>
      <c r="AW50" s="207">
        <v>100</v>
      </c>
      <c r="AX50" s="207">
        <v>100</v>
      </c>
      <c r="AY50" s="207">
        <v>100</v>
      </c>
      <c r="AZ50" s="207">
        <f t="shared" si="18"/>
        <v>300</v>
      </c>
      <c r="BA50" s="213">
        <f>ROUND(AVERAGE(5-4*(AZ50)/(AZ9)),1)</f>
        <v>1</v>
      </c>
      <c r="BB50" s="214">
        <f t="shared" si="19"/>
        <v>0.15</v>
      </c>
      <c r="BC50" s="216">
        <v>27</v>
      </c>
      <c r="BD50" s="213">
        <f>5-(4*BC50/BC9)</f>
        <v>1</v>
      </c>
      <c r="BE50" s="214">
        <f t="shared" si="20"/>
        <v>0.1</v>
      </c>
      <c r="BF50" s="206">
        <v>43</v>
      </c>
      <c r="BG50" s="217">
        <f>ROUND(AVERAGE(5-4*(BF50)/(BF9)),1)</f>
        <v>2.5</v>
      </c>
      <c r="BH50" s="242">
        <f t="shared" si="21"/>
        <v>0.75</v>
      </c>
      <c r="BI50" s="216">
        <f t="shared" si="26"/>
        <v>1.9300000000000002</v>
      </c>
      <c r="BJ50" s="216">
        <f>AL50+AQ50+AV50+BB50+BE50+BH50</f>
        <v>1.96</v>
      </c>
      <c r="BK50" s="216">
        <f t="shared" si="23"/>
        <v>1.9450000000000001</v>
      </c>
      <c r="BL50" s="206" t="s">
        <v>91</v>
      </c>
    </row>
    <row r="51" spans="1:64" x14ac:dyDescent="0.3">
      <c r="A51" s="272">
        <v>41</v>
      </c>
      <c r="B51" s="273" t="s">
        <v>294</v>
      </c>
      <c r="C51" s="237" t="s">
        <v>295</v>
      </c>
      <c r="D51" s="202">
        <v>32</v>
      </c>
      <c r="E51" s="202">
        <v>26</v>
      </c>
      <c r="F51" s="207">
        <f t="shared" si="0"/>
        <v>58</v>
      </c>
      <c r="G51" s="267">
        <f>ROUND(AVERAGE(5-4*(F51)/(F9)),1)</f>
        <v>2.7</v>
      </c>
      <c r="H51" s="251">
        <f t="shared" si="27"/>
        <v>0.40500000000000003</v>
      </c>
      <c r="I51" s="263"/>
      <c r="J51" s="263"/>
      <c r="K51" s="244">
        <v>36</v>
      </c>
      <c r="L51" s="244">
        <v>33</v>
      </c>
      <c r="M51" s="206">
        <f t="shared" si="3"/>
        <v>69</v>
      </c>
      <c r="N51" s="267">
        <f>ROUND(AVERAGE(5-4*(M51)/(M9)),1)</f>
        <v>2.2000000000000002</v>
      </c>
      <c r="O51" s="212">
        <f t="shared" si="24"/>
        <v>0.33</v>
      </c>
      <c r="P51" s="263"/>
      <c r="Q51" s="263"/>
      <c r="R51" s="202">
        <v>38</v>
      </c>
      <c r="S51" s="202">
        <v>33</v>
      </c>
      <c r="T51" s="207">
        <f>SUM(R51+S51)</f>
        <v>71</v>
      </c>
      <c r="U51" s="209">
        <f>ROUND(AVERAGE(5-4*(T51)/(T9)),1)</f>
        <v>2.2000000000000002</v>
      </c>
      <c r="V51" s="212">
        <f t="shared" si="5"/>
        <v>0.33</v>
      </c>
      <c r="W51" s="202">
        <v>85</v>
      </c>
      <c r="X51" s="241">
        <v>80</v>
      </c>
      <c r="Y51" s="203">
        <f t="shared" si="6"/>
        <v>165</v>
      </c>
      <c r="Z51" s="209">
        <f>ROUND(AVERAGE(5-4*(Y51)/(Y9)),1)</f>
        <v>1.7</v>
      </c>
      <c r="AA51" s="212">
        <f t="shared" si="7"/>
        <v>0.255</v>
      </c>
      <c r="AB51" s="218">
        <v>27</v>
      </c>
      <c r="AC51" s="209">
        <f t="shared" si="8"/>
        <v>1</v>
      </c>
      <c r="AD51" s="212">
        <f t="shared" si="9"/>
        <v>0.1</v>
      </c>
      <c r="AE51" s="202">
        <v>21</v>
      </c>
      <c r="AF51" s="211">
        <f t="shared" si="10"/>
        <v>3.8</v>
      </c>
      <c r="AG51" s="212">
        <f t="shared" si="11"/>
        <v>1.1399999999999999</v>
      </c>
      <c r="AH51" s="203">
        <v>27</v>
      </c>
      <c r="AI51" s="207">
        <v>15</v>
      </c>
      <c r="AJ51" s="203">
        <f t="shared" si="12"/>
        <v>42</v>
      </c>
      <c r="AK51" s="209">
        <f>ROUND(AVERAGE(5-4*(AJ51)/(AJ9)),1)</f>
        <v>3.3</v>
      </c>
      <c r="AL51" s="212">
        <f t="shared" si="13"/>
        <v>0.49499999999999994</v>
      </c>
      <c r="AM51" s="207">
        <v>35</v>
      </c>
      <c r="AN51" s="207">
        <v>32</v>
      </c>
      <c r="AO51" s="203">
        <f t="shared" si="14"/>
        <v>67</v>
      </c>
      <c r="AP51" s="209">
        <f>ROUND(AVERAGE(5-4*(AO51)/(AO9)),1)</f>
        <v>2.2999999999999998</v>
      </c>
      <c r="AQ51" s="215">
        <f t="shared" si="15"/>
        <v>0.34499999999999997</v>
      </c>
      <c r="AR51" s="207">
        <v>30</v>
      </c>
      <c r="AS51" s="207">
        <v>37</v>
      </c>
      <c r="AT51" s="203">
        <f t="shared" si="16"/>
        <v>67</v>
      </c>
      <c r="AU51" s="213">
        <f>ROUND(AVERAGE(5-4*(AT51)/(AT9)),1)</f>
        <v>2.2999999999999998</v>
      </c>
      <c r="AV51" s="214">
        <f t="shared" si="17"/>
        <v>0.34499999999999997</v>
      </c>
      <c r="AW51" s="207">
        <v>85</v>
      </c>
      <c r="AX51" s="207">
        <v>85</v>
      </c>
      <c r="AY51" s="207">
        <v>90</v>
      </c>
      <c r="AZ51" s="207">
        <f t="shared" si="18"/>
        <v>260</v>
      </c>
      <c r="BA51" s="213">
        <f>ROUND(AVERAGE(5-4*(AZ51)/(AZ9)),1)</f>
        <v>1.5</v>
      </c>
      <c r="BB51" s="214">
        <f t="shared" si="19"/>
        <v>0.22499999999999998</v>
      </c>
      <c r="BC51" s="216">
        <v>24</v>
      </c>
      <c r="BD51" s="213">
        <f>5-(4*BC51/BC9)</f>
        <v>1.4444444444444446</v>
      </c>
      <c r="BE51" s="214">
        <f t="shared" si="20"/>
        <v>0.14444444444444446</v>
      </c>
      <c r="BF51" s="206">
        <v>44</v>
      </c>
      <c r="BG51" s="217">
        <f>ROUND(AVERAGE(5-4*(BF51)/(BF9)),1)</f>
        <v>2.5</v>
      </c>
      <c r="BH51" s="242">
        <f>BG51*0.3</f>
        <v>0.75</v>
      </c>
      <c r="BI51" s="216">
        <f t="shared" si="26"/>
        <v>2.5600000000000005</v>
      </c>
      <c r="BJ51" s="216">
        <f>AL51+AQ51+AV51+BB51+BE51+BH51</f>
        <v>2.3044444444444441</v>
      </c>
      <c r="BK51" s="216">
        <f t="shared" si="23"/>
        <v>2.4322222222222223</v>
      </c>
      <c r="BL51" s="206" t="s">
        <v>91</v>
      </c>
    </row>
    <row r="52" spans="1:64" x14ac:dyDescent="0.3">
      <c r="A52" s="63">
        <v>42</v>
      </c>
      <c r="B52" s="273" t="s">
        <v>296</v>
      </c>
      <c r="C52" s="237" t="s">
        <v>297</v>
      </c>
      <c r="D52" s="241">
        <v>36</v>
      </c>
      <c r="E52" s="241">
        <v>29</v>
      </c>
      <c r="F52" s="207">
        <f t="shared" si="0"/>
        <v>65</v>
      </c>
      <c r="G52" s="267">
        <f>ROUND(AVERAGE(5-4*(F52)/(F9)),1)</f>
        <v>2.4</v>
      </c>
      <c r="H52" s="251">
        <f t="shared" si="27"/>
        <v>0.36</v>
      </c>
      <c r="I52" s="263"/>
      <c r="J52" s="263"/>
      <c r="K52" s="244">
        <v>39</v>
      </c>
      <c r="L52" s="244">
        <v>34</v>
      </c>
      <c r="M52" s="206">
        <f t="shared" si="3"/>
        <v>73</v>
      </c>
      <c r="N52" s="267">
        <f>ROUND(AVERAGE(5-4*(M52)/(M9)),1)</f>
        <v>2.1</v>
      </c>
      <c r="O52" s="212">
        <f t="shared" si="24"/>
        <v>0.315</v>
      </c>
      <c r="P52" s="263"/>
      <c r="Q52" s="263"/>
      <c r="R52" s="241">
        <v>38</v>
      </c>
      <c r="S52" s="241">
        <v>35</v>
      </c>
      <c r="T52" s="207">
        <f t="shared" si="4"/>
        <v>73</v>
      </c>
      <c r="U52" s="209">
        <f>ROUND(AVERAGE(5-4*(T52)/(T9)),1)</f>
        <v>2.1</v>
      </c>
      <c r="V52" s="212">
        <f t="shared" si="5"/>
        <v>0.315</v>
      </c>
      <c r="W52" s="241">
        <v>93</v>
      </c>
      <c r="X52" s="241">
        <v>83</v>
      </c>
      <c r="Y52" s="203">
        <f t="shared" si="6"/>
        <v>176</v>
      </c>
      <c r="Z52" s="209">
        <f>ROUND(AVERAGE(5-4*(Y52)/(Y9)),1)</f>
        <v>1.5</v>
      </c>
      <c r="AA52" s="212">
        <f t="shared" si="7"/>
        <v>0.22499999999999998</v>
      </c>
      <c r="AB52" s="218">
        <v>27</v>
      </c>
      <c r="AC52" s="209">
        <f t="shared" si="8"/>
        <v>1</v>
      </c>
      <c r="AD52" s="212">
        <f t="shared" si="9"/>
        <v>0.1</v>
      </c>
      <c r="AE52" s="241">
        <v>32</v>
      </c>
      <c r="AF52" s="211">
        <f t="shared" si="10"/>
        <v>3.2</v>
      </c>
      <c r="AG52" s="212">
        <f t="shared" si="11"/>
        <v>0.96</v>
      </c>
      <c r="AH52" s="203">
        <v>26</v>
      </c>
      <c r="AI52" s="207">
        <v>24</v>
      </c>
      <c r="AJ52" s="203">
        <f t="shared" si="12"/>
        <v>50</v>
      </c>
      <c r="AK52" s="209">
        <f>ROUND(AVERAGE(5-4*(AJ52)/(AJ9)),1)</f>
        <v>3</v>
      </c>
      <c r="AL52" s="212">
        <f>AK52*0.15</f>
        <v>0.44999999999999996</v>
      </c>
      <c r="AM52" s="207">
        <v>34</v>
      </c>
      <c r="AN52" s="207">
        <v>34</v>
      </c>
      <c r="AO52" s="203">
        <f t="shared" si="14"/>
        <v>68</v>
      </c>
      <c r="AP52" s="209">
        <f>ROUND(AVERAGE(5-4*(AO52)/(AO9)),1)</f>
        <v>2.2999999999999998</v>
      </c>
      <c r="AQ52" s="214">
        <f t="shared" si="15"/>
        <v>0.34499999999999997</v>
      </c>
      <c r="AR52" s="207">
        <v>34</v>
      </c>
      <c r="AS52" s="207">
        <v>30</v>
      </c>
      <c r="AT52" s="203">
        <f t="shared" si="16"/>
        <v>64</v>
      </c>
      <c r="AU52" s="213">
        <f>ROUND(AVERAGE(5-4*(AT52)/(AT9)),1)</f>
        <v>2.4</v>
      </c>
      <c r="AV52" s="214">
        <f t="shared" si="17"/>
        <v>0.36</v>
      </c>
      <c r="AW52" s="207">
        <v>80</v>
      </c>
      <c r="AX52" s="207">
        <v>80</v>
      </c>
      <c r="AY52" s="207">
        <v>90</v>
      </c>
      <c r="AZ52" s="207">
        <f t="shared" si="18"/>
        <v>250</v>
      </c>
      <c r="BA52" s="213">
        <f>ROUND(AVERAGE(5-4*(AZ52)/(AZ9)),1)</f>
        <v>1.7</v>
      </c>
      <c r="BB52" s="214">
        <f t="shared" si="19"/>
        <v>0.255</v>
      </c>
      <c r="BC52" s="216">
        <v>27</v>
      </c>
      <c r="BD52" s="213">
        <f>5-(4*BC52/BC9)</f>
        <v>1</v>
      </c>
      <c r="BE52" s="214">
        <f t="shared" si="20"/>
        <v>0.1</v>
      </c>
      <c r="BF52" s="206">
        <v>28</v>
      </c>
      <c r="BG52" s="217">
        <f>ROUND(AVERAGE(5-4*(BF52)/(BF9)),1)</f>
        <v>3.4</v>
      </c>
      <c r="BH52" s="242">
        <f t="shared" si="21"/>
        <v>1.02</v>
      </c>
      <c r="BI52" s="216">
        <f t="shared" si="26"/>
        <v>2.2749999999999999</v>
      </c>
      <c r="BJ52" s="216">
        <f t="shared" ref="BJ52:BJ58" si="29">AL52+AQ52+AV52+BB52+BE52+BH52</f>
        <v>2.5299999999999998</v>
      </c>
      <c r="BK52" s="216">
        <f>(BI52*1/2)+(BJ52*1/2)</f>
        <v>2.4024999999999999</v>
      </c>
      <c r="BL52" s="206" t="s">
        <v>91</v>
      </c>
    </row>
    <row r="53" spans="1:64" ht="14.25" customHeight="1" x14ac:dyDescent="0.3">
      <c r="A53" s="272">
        <v>43</v>
      </c>
      <c r="B53" s="273" t="s">
        <v>298</v>
      </c>
      <c r="C53" s="237" t="s">
        <v>299</v>
      </c>
      <c r="D53" s="202">
        <v>28</v>
      </c>
      <c r="E53" s="202">
        <v>36</v>
      </c>
      <c r="F53" s="207">
        <f t="shared" si="0"/>
        <v>64</v>
      </c>
      <c r="G53" s="267">
        <f>ROUND(AVERAGE(5-4*(F53)/(F9)),1)</f>
        <v>2.4</v>
      </c>
      <c r="H53" s="251">
        <f t="shared" si="27"/>
        <v>0.36</v>
      </c>
      <c r="I53" s="263"/>
      <c r="J53" s="263"/>
      <c r="K53" s="205">
        <v>36</v>
      </c>
      <c r="L53" s="205">
        <v>33</v>
      </c>
      <c r="M53" s="206">
        <f t="shared" si="3"/>
        <v>69</v>
      </c>
      <c r="N53" s="267">
        <f>ROUND(AVERAGE(5-4*(M53)/(M9)),1)</f>
        <v>2.2000000000000002</v>
      </c>
      <c r="O53" s="212">
        <f t="shared" si="24"/>
        <v>0.33</v>
      </c>
      <c r="P53" s="263"/>
      <c r="Q53" s="263"/>
      <c r="R53" s="202">
        <v>35</v>
      </c>
      <c r="S53" s="202">
        <v>31</v>
      </c>
      <c r="T53" s="207">
        <f t="shared" si="4"/>
        <v>66</v>
      </c>
      <c r="U53" s="209">
        <f>ROUND(AVERAGE(5-4*(T53)/(T9)),1)</f>
        <v>2.4</v>
      </c>
      <c r="V53" s="212">
        <f t="shared" si="5"/>
        <v>0.36</v>
      </c>
      <c r="W53" s="202">
        <v>85</v>
      </c>
      <c r="X53" s="208">
        <v>80</v>
      </c>
      <c r="Y53" s="203">
        <f t="shared" si="6"/>
        <v>165</v>
      </c>
      <c r="Z53" s="209">
        <f>ROUND(AVERAGE(5-4*(Y53)/(Y9)),1)</f>
        <v>1.7</v>
      </c>
      <c r="AA53" s="212">
        <f t="shared" si="7"/>
        <v>0.255</v>
      </c>
      <c r="AB53" s="218">
        <v>27</v>
      </c>
      <c r="AC53" s="209">
        <f t="shared" si="8"/>
        <v>1</v>
      </c>
      <c r="AD53" s="212">
        <f t="shared" si="9"/>
        <v>0.1</v>
      </c>
      <c r="AE53" s="202">
        <v>17</v>
      </c>
      <c r="AF53" s="211">
        <f t="shared" si="10"/>
        <v>4</v>
      </c>
      <c r="AG53" s="212">
        <f t="shared" si="11"/>
        <v>1.2</v>
      </c>
      <c r="AH53" s="203">
        <v>15</v>
      </c>
      <c r="AI53" s="207">
        <v>15</v>
      </c>
      <c r="AJ53" s="203">
        <f t="shared" si="12"/>
        <v>30</v>
      </c>
      <c r="AK53" s="209">
        <f>ROUND(AVERAGE(5-4*(AJ53)/(AJ9)),1)</f>
        <v>3.8</v>
      </c>
      <c r="AL53" s="212">
        <f t="shared" si="13"/>
        <v>0.56999999999999995</v>
      </c>
      <c r="AM53" s="207">
        <v>30</v>
      </c>
      <c r="AN53" s="207">
        <v>35</v>
      </c>
      <c r="AO53" s="203">
        <f t="shared" si="14"/>
        <v>65</v>
      </c>
      <c r="AP53" s="209">
        <f>ROUND(AVERAGE(5-4*(AO53)/(AO9)),1)</f>
        <v>2.4</v>
      </c>
      <c r="AQ53" s="215">
        <f>AP53*0.15</f>
        <v>0.36</v>
      </c>
      <c r="AR53" s="207">
        <v>38</v>
      </c>
      <c r="AS53" s="207">
        <v>40</v>
      </c>
      <c r="AT53" s="203">
        <f t="shared" si="16"/>
        <v>78</v>
      </c>
      <c r="AU53" s="213">
        <f>ROUND(AVERAGE(5-4*(AT53)/(AT9)),1)</f>
        <v>1.9</v>
      </c>
      <c r="AV53" s="214">
        <f t="shared" si="17"/>
        <v>0.28499999999999998</v>
      </c>
      <c r="AW53" s="207">
        <v>85</v>
      </c>
      <c r="AX53" s="207">
        <v>89</v>
      </c>
      <c r="AY53" s="207">
        <v>100</v>
      </c>
      <c r="AZ53" s="207">
        <f t="shared" si="18"/>
        <v>274</v>
      </c>
      <c r="BA53" s="213">
        <f>ROUND(AVERAGE(5-4*(AZ53)/(AZ9)),1)</f>
        <v>1.3</v>
      </c>
      <c r="BB53" s="214">
        <f t="shared" si="19"/>
        <v>0.19500000000000001</v>
      </c>
      <c r="BC53" s="216">
        <v>27</v>
      </c>
      <c r="BD53" s="213">
        <f>5-(4*BC53/BC9)</f>
        <v>1</v>
      </c>
      <c r="BE53" s="214">
        <f t="shared" si="20"/>
        <v>0.1</v>
      </c>
      <c r="BF53" s="206">
        <v>21</v>
      </c>
      <c r="BG53" s="217">
        <f>ROUND(AVERAGE(5-4*(BF53)/(BF9)),1)</f>
        <v>3.8</v>
      </c>
      <c r="BH53" s="214">
        <f t="shared" si="21"/>
        <v>1.1399999999999999</v>
      </c>
      <c r="BI53" s="216">
        <f t="shared" si="26"/>
        <v>2.6049999999999995</v>
      </c>
      <c r="BJ53" s="216">
        <f t="shared" si="29"/>
        <v>2.65</v>
      </c>
      <c r="BK53" s="216">
        <f t="shared" si="23"/>
        <v>2.6274999999999995</v>
      </c>
      <c r="BL53" s="206" t="s">
        <v>91</v>
      </c>
    </row>
    <row r="54" spans="1:64" x14ac:dyDescent="0.3">
      <c r="A54" s="272">
        <v>44</v>
      </c>
      <c r="B54" s="273" t="s">
        <v>300</v>
      </c>
      <c r="C54" s="237" t="s">
        <v>301</v>
      </c>
      <c r="D54" s="86">
        <v>34</v>
      </c>
      <c r="E54" s="86">
        <v>22</v>
      </c>
      <c r="F54" s="93">
        <f t="shared" si="0"/>
        <v>56</v>
      </c>
      <c r="G54" s="266">
        <f>ROUND(AVERAGE(5-4*(F54)/(F9)),1)</f>
        <v>2.8</v>
      </c>
      <c r="H54" s="245">
        <f t="shared" si="27"/>
        <v>0.42</v>
      </c>
      <c r="I54" s="250"/>
      <c r="J54" s="250"/>
      <c r="K54" s="78">
        <v>40</v>
      </c>
      <c r="L54" s="78">
        <v>38</v>
      </c>
      <c r="M54" s="81">
        <f t="shared" si="3"/>
        <v>78</v>
      </c>
      <c r="N54" s="266">
        <f>ROUND(AVERAGE(5-4*(M54)/(M9)),1)</f>
        <v>1.9</v>
      </c>
      <c r="O54" s="108">
        <f t="shared" si="24"/>
        <v>0.28499999999999998</v>
      </c>
      <c r="P54" s="250"/>
      <c r="Q54" s="250"/>
      <c r="R54" s="86">
        <v>28</v>
      </c>
      <c r="S54" s="86">
        <v>33</v>
      </c>
      <c r="T54" s="93">
        <f t="shared" si="4"/>
        <v>61</v>
      </c>
      <c r="U54" s="106">
        <f>ROUND(AVERAGE(5-4*(T54)/(T9)),1)</f>
        <v>2.6</v>
      </c>
      <c r="V54" s="108">
        <f t="shared" si="5"/>
        <v>0.39</v>
      </c>
      <c r="W54" s="86">
        <v>80</v>
      </c>
      <c r="X54" s="95">
        <v>80</v>
      </c>
      <c r="Y54" s="96">
        <f t="shared" si="6"/>
        <v>160</v>
      </c>
      <c r="Z54" s="106">
        <f>ROUND(AVERAGE(5-4*(Y54)/(Y9)),1)</f>
        <v>1.8</v>
      </c>
      <c r="AA54" s="108">
        <f t="shared" si="7"/>
        <v>0.27</v>
      </c>
      <c r="AB54" s="98">
        <v>25.5</v>
      </c>
      <c r="AC54" s="106">
        <f t="shared" si="8"/>
        <v>1.2222222222222223</v>
      </c>
      <c r="AD54" s="108">
        <f t="shared" si="9"/>
        <v>0.12222222222222223</v>
      </c>
      <c r="AE54" s="86">
        <v>17</v>
      </c>
      <c r="AF54" s="107">
        <f t="shared" si="10"/>
        <v>4</v>
      </c>
      <c r="AG54" s="108">
        <f t="shared" si="11"/>
        <v>1.2</v>
      </c>
      <c r="AH54" s="96">
        <v>15</v>
      </c>
      <c r="AI54" s="93">
        <v>15</v>
      </c>
      <c r="AJ54" s="96">
        <f>SUM(AH54+AI54)</f>
        <v>30</v>
      </c>
      <c r="AK54" s="106">
        <f>ROUND(AVERAGE(5-4*(AJ54)/(AJ9)),1)</f>
        <v>3.8</v>
      </c>
      <c r="AL54" s="108">
        <f t="shared" si="13"/>
        <v>0.56999999999999995</v>
      </c>
      <c r="AM54" s="93">
        <v>41</v>
      </c>
      <c r="AN54" s="93">
        <v>42</v>
      </c>
      <c r="AO54" s="96">
        <f t="shared" si="14"/>
        <v>83</v>
      </c>
      <c r="AP54" s="106">
        <f>ROUND(AVERAGE(5-4*(AO54)/(AO9)),1)</f>
        <v>1.7</v>
      </c>
      <c r="AQ54" s="158">
        <f t="shared" si="15"/>
        <v>0.255</v>
      </c>
      <c r="AR54" s="93">
        <v>40</v>
      </c>
      <c r="AS54" s="93">
        <v>35</v>
      </c>
      <c r="AT54" s="96">
        <f t="shared" si="16"/>
        <v>75</v>
      </c>
      <c r="AU54" s="148">
        <f>ROUND(AVERAGE(5-4*(AT54)/(AT9)),1)</f>
        <v>2</v>
      </c>
      <c r="AV54" s="149">
        <f t="shared" si="17"/>
        <v>0.3</v>
      </c>
      <c r="AW54" s="93">
        <v>80</v>
      </c>
      <c r="AX54" s="93">
        <v>80</v>
      </c>
      <c r="AY54" s="93">
        <v>95</v>
      </c>
      <c r="AZ54" s="93">
        <f t="shared" si="18"/>
        <v>255</v>
      </c>
      <c r="BA54" s="148">
        <f>ROUND(AVERAGE(5-4*(AZ54)/(AZ9)),1)</f>
        <v>1.6</v>
      </c>
      <c r="BB54" s="149">
        <f>BA54*0.15</f>
        <v>0.24</v>
      </c>
      <c r="BC54" s="216">
        <v>24</v>
      </c>
      <c r="BD54" s="148">
        <f>5-(4*BC54/BC9)</f>
        <v>1.4444444444444446</v>
      </c>
      <c r="BE54" s="149">
        <f t="shared" si="20"/>
        <v>0.14444444444444446</v>
      </c>
      <c r="BF54" s="81">
        <v>18</v>
      </c>
      <c r="BG54" s="157">
        <f>ROUND(AVERAGE(5-4*(BF54)/(BF9)),1)</f>
        <v>4</v>
      </c>
      <c r="BH54" s="149">
        <f t="shared" si="21"/>
        <v>1.2</v>
      </c>
      <c r="BI54" s="165">
        <f t="shared" si="26"/>
        <v>2.6872222222222222</v>
      </c>
      <c r="BJ54" s="165">
        <f t="shared" si="29"/>
        <v>2.7094444444444443</v>
      </c>
      <c r="BK54" s="216">
        <f t="shared" si="23"/>
        <v>2.6983333333333333</v>
      </c>
      <c r="BL54" s="81" t="s">
        <v>91</v>
      </c>
    </row>
    <row r="55" spans="1:64" ht="15.75" customHeight="1" x14ac:dyDescent="0.3">
      <c r="A55" s="272"/>
      <c r="B55" s="273"/>
      <c r="C55" s="495" t="s">
        <v>49</v>
      </c>
      <c r="D55" s="86"/>
      <c r="E55" s="86"/>
      <c r="F55" s="93"/>
      <c r="G55" s="266"/>
      <c r="H55" s="245"/>
      <c r="I55" s="250"/>
      <c r="J55" s="250"/>
      <c r="K55" s="78"/>
      <c r="L55" s="78"/>
      <c r="M55" s="81"/>
      <c r="N55" s="266"/>
      <c r="O55" s="108"/>
      <c r="P55" s="250"/>
      <c r="Q55" s="250"/>
      <c r="R55" s="86"/>
      <c r="S55" s="86"/>
      <c r="T55" s="93"/>
      <c r="U55" s="106"/>
      <c r="V55" s="108"/>
      <c r="W55" s="86"/>
      <c r="X55" s="95"/>
      <c r="Y55" s="96"/>
      <c r="Z55" s="106"/>
      <c r="AA55" s="108"/>
      <c r="AB55" s="98"/>
      <c r="AC55" s="106"/>
      <c r="AD55" s="108"/>
      <c r="AE55" s="86"/>
      <c r="AF55" s="107"/>
      <c r="AG55" s="108"/>
      <c r="AH55" s="96"/>
      <c r="AI55" s="93"/>
      <c r="AJ55" s="96"/>
      <c r="AK55" s="106"/>
      <c r="AL55" s="108"/>
      <c r="AM55" s="93"/>
      <c r="AN55" s="93"/>
      <c r="AO55" s="96"/>
      <c r="AP55" s="106"/>
      <c r="AQ55" s="158"/>
      <c r="AR55" s="93"/>
      <c r="AS55" s="93"/>
      <c r="AT55" s="96"/>
      <c r="AU55" s="148"/>
      <c r="AV55" s="149"/>
      <c r="AW55" s="93"/>
      <c r="AX55" s="93"/>
      <c r="AY55" s="93"/>
      <c r="AZ55" s="93"/>
      <c r="BA55" s="148"/>
      <c r="BB55" s="149"/>
      <c r="BC55" s="216"/>
      <c r="BD55" s="148"/>
      <c r="BE55" s="149"/>
      <c r="BF55" s="81"/>
      <c r="BG55" s="157"/>
      <c r="BH55" s="151"/>
      <c r="BI55" s="165"/>
      <c r="BJ55" s="165"/>
      <c r="BK55" s="165"/>
      <c r="BL55" s="81"/>
    </row>
    <row r="56" spans="1:64" x14ac:dyDescent="0.3">
      <c r="A56" s="272">
        <v>45</v>
      </c>
      <c r="B56" s="273" t="s">
        <v>224</v>
      </c>
      <c r="C56" s="237" t="s">
        <v>225</v>
      </c>
      <c r="D56" s="86">
        <v>41</v>
      </c>
      <c r="E56" s="86">
        <v>23</v>
      </c>
      <c r="F56" s="93">
        <f t="shared" si="0"/>
        <v>64</v>
      </c>
      <c r="G56" s="266">
        <f>ROUND(AVERAGE(5-4*(F56)/(F9)),1)</f>
        <v>2.4</v>
      </c>
      <c r="H56" s="245">
        <f t="shared" si="27"/>
        <v>0.36</v>
      </c>
      <c r="I56" s="250"/>
      <c r="J56" s="250"/>
      <c r="K56" s="87">
        <v>38</v>
      </c>
      <c r="L56" s="87">
        <v>27</v>
      </c>
      <c r="M56" s="81">
        <f t="shared" si="3"/>
        <v>65</v>
      </c>
      <c r="N56" s="266">
        <f>ROUND(AVERAGE(5-4*(M56)/(M9)),1)</f>
        <v>2.4</v>
      </c>
      <c r="O56" s="108">
        <f t="shared" si="24"/>
        <v>0.36</v>
      </c>
      <c r="P56" s="250"/>
      <c r="Q56" s="250"/>
      <c r="R56" s="86">
        <v>37</v>
      </c>
      <c r="S56" s="86">
        <v>30</v>
      </c>
      <c r="T56" s="93">
        <f t="shared" si="4"/>
        <v>67</v>
      </c>
      <c r="U56" s="106">
        <f>ROUND(AVERAGE(5-4*(T56)/(T9)),1)</f>
        <v>2.2999999999999998</v>
      </c>
      <c r="V56" s="108">
        <f t="shared" si="5"/>
        <v>0.34499999999999997</v>
      </c>
      <c r="W56" s="83">
        <v>75</v>
      </c>
      <c r="X56" s="83">
        <v>70</v>
      </c>
      <c r="Y56" s="96">
        <f t="shared" si="6"/>
        <v>145</v>
      </c>
      <c r="Z56" s="106">
        <f>ROUND(AVERAGE(5-4*(Y56)/(Y9)),1)</f>
        <v>2.1</v>
      </c>
      <c r="AA56" s="108">
        <f t="shared" si="7"/>
        <v>0.315</v>
      </c>
      <c r="AB56" s="98">
        <v>22.5</v>
      </c>
      <c r="AC56" s="106">
        <f t="shared" si="8"/>
        <v>1.6666666666666665</v>
      </c>
      <c r="AD56" s="108">
        <f t="shared" si="9"/>
        <v>0.16666666666666666</v>
      </c>
      <c r="AE56" s="86">
        <v>17</v>
      </c>
      <c r="AF56" s="107">
        <f t="shared" si="10"/>
        <v>4</v>
      </c>
      <c r="AG56" s="108">
        <f>AF56*0.3</f>
        <v>1.2</v>
      </c>
      <c r="AH56" s="96">
        <v>25</v>
      </c>
      <c r="AI56" s="93">
        <v>20</v>
      </c>
      <c r="AJ56" s="96">
        <f t="shared" si="12"/>
        <v>45</v>
      </c>
      <c r="AK56" s="106">
        <f>ROUND(AVERAGE(5-4*(AJ56)/(AJ9)),1)</f>
        <v>3.2</v>
      </c>
      <c r="AL56" s="108">
        <f t="shared" si="13"/>
        <v>0.48</v>
      </c>
      <c r="AM56" s="93">
        <v>33</v>
      </c>
      <c r="AN56" s="93">
        <v>35</v>
      </c>
      <c r="AO56" s="96">
        <f t="shared" si="14"/>
        <v>68</v>
      </c>
      <c r="AP56" s="106">
        <f>ROUND(AVERAGE(5-4*(AO56)/(AO9)),1)</f>
        <v>2.2999999999999998</v>
      </c>
      <c r="AQ56" s="158">
        <f t="shared" si="15"/>
        <v>0.34499999999999997</v>
      </c>
      <c r="AR56" s="93">
        <v>35</v>
      </c>
      <c r="AS56" s="93">
        <v>40</v>
      </c>
      <c r="AT56" s="96">
        <f>SUM(AR56+AS56)</f>
        <v>75</v>
      </c>
      <c r="AU56" s="148">
        <f>ROUND(AVERAGE(5-4*(AT56)/(AT9)),1)</f>
        <v>2</v>
      </c>
      <c r="AV56" s="149">
        <f t="shared" si="17"/>
        <v>0.3</v>
      </c>
      <c r="AW56" s="93">
        <v>85</v>
      </c>
      <c r="AX56" s="93">
        <v>85</v>
      </c>
      <c r="AY56" s="93">
        <v>90</v>
      </c>
      <c r="AZ56" s="93">
        <f t="shared" si="18"/>
        <v>260</v>
      </c>
      <c r="BA56" s="148">
        <f>ROUND(AVERAGE(5-4*(AZ56)/(AZ9)),1)</f>
        <v>1.5</v>
      </c>
      <c r="BB56" s="149">
        <f t="shared" si="19"/>
        <v>0.22499999999999998</v>
      </c>
      <c r="BC56" s="216">
        <v>22.5</v>
      </c>
      <c r="BD56" s="148">
        <f>5-(4*BC56/BC9)</f>
        <v>1.6666666666666665</v>
      </c>
      <c r="BE56" s="149">
        <f t="shared" si="20"/>
        <v>0.16666666666666666</v>
      </c>
      <c r="BF56" s="81">
        <v>36</v>
      </c>
      <c r="BG56" s="157">
        <f>ROUND(AVERAGE(5-4*(BF56)/(BF9)),1)</f>
        <v>2.9</v>
      </c>
      <c r="BH56" s="151">
        <f t="shared" si="21"/>
        <v>0.87</v>
      </c>
      <c r="BI56" s="165">
        <f t="shared" si="26"/>
        <v>2.7466666666666666</v>
      </c>
      <c r="BJ56" s="165">
        <f t="shared" si="29"/>
        <v>2.3866666666666667</v>
      </c>
      <c r="BK56" s="165">
        <f t="shared" si="23"/>
        <v>2.5666666666666664</v>
      </c>
      <c r="BL56" s="81" t="s">
        <v>91</v>
      </c>
    </row>
    <row r="57" spans="1:64" x14ac:dyDescent="0.3">
      <c r="A57" s="327">
        <v>46</v>
      </c>
      <c r="B57" s="328" t="s">
        <v>272</v>
      </c>
      <c r="C57" s="329" t="s">
        <v>273</v>
      </c>
      <c r="D57" s="330"/>
      <c r="E57" s="330"/>
      <c r="F57" s="331"/>
      <c r="G57" s="332">
        <f>ROUND(AVERAGE(5-4*(F57)/(F26)),1)</f>
        <v>5</v>
      </c>
      <c r="H57" s="333">
        <f t="shared" ref="H57" si="30">G57*0.15</f>
        <v>0.75</v>
      </c>
      <c r="I57" s="373">
        <v>25</v>
      </c>
      <c r="J57" s="374">
        <f t="shared" ref="J57" si="31">ROUND(5-4*I57/30,1)</f>
        <v>1.7</v>
      </c>
      <c r="K57" s="335"/>
      <c r="L57" s="335"/>
      <c r="M57" s="336"/>
      <c r="N57" s="332">
        <f>ROUND(AVERAGE(5-4*(M57)/(M26)),1)</f>
        <v>5</v>
      </c>
      <c r="O57" s="337">
        <f t="shared" ref="O57" si="32">N57*0.15</f>
        <v>0.75</v>
      </c>
      <c r="P57" s="375" t="e">
        <f>ROUND(5-4*#REF!/10,1)</f>
        <v>#REF!</v>
      </c>
      <c r="Q57" s="376"/>
      <c r="R57" s="330"/>
      <c r="S57" s="330"/>
      <c r="T57" s="331"/>
      <c r="U57" s="341">
        <f>ROUND(AVERAGE(5-4*(T57)/(T26)),1)</f>
        <v>5</v>
      </c>
      <c r="V57" s="337">
        <f t="shared" ref="V57" si="33">U57*0.15</f>
        <v>0.75</v>
      </c>
      <c r="W57" s="330"/>
      <c r="X57" s="339"/>
      <c r="Y57" s="340"/>
      <c r="Z57" s="341">
        <f>ROUND(AVERAGE(5-4*(Y57)/(Y26)),1)</f>
        <v>5</v>
      </c>
      <c r="AA57" s="337">
        <f t="shared" ref="AA57" si="34">Z57*0.15</f>
        <v>0.75</v>
      </c>
      <c r="AB57" s="342"/>
      <c r="AC57" s="341">
        <f t="shared" ref="AC57" si="35">5-(4*AB57/27)</f>
        <v>5</v>
      </c>
      <c r="AD57" s="337">
        <f t="shared" ref="AD57" si="36">AC57*0.1</f>
        <v>0.5</v>
      </c>
      <c r="AE57" s="330"/>
      <c r="AF57" s="343">
        <f t="shared" ref="AF57" si="37">ROUND(AVERAGE(5-4*(AE57)/(70)),1)</f>
        <v>5</v>
      </c>
      <c r="AG57" s="337">
        <f t="shared" ref="AG57" si="38">AF57*0.3</f>
        <v>1.5</v>
      </c>
      <c r="AH57" s="340"/>
      <c r="AI57" s="331"/>
      <c r="AJ57" s="340"/>
      <c r="AK57" s="341">
        <f>ROUND(AVERAGE(5-4*(AJ57)/(AJ26)),1)</f>
        <v>5</v>
      </c>
      <c r="AL57" s="337">
        <f t="shared" ref="AL57" si="39">AK57*0.15</f>
        <v>0.75</v>
      </c>
      <c r="AM57" s="331"/>
      <c r="AN57" s="331"/>
      <c r="AO57" s="340"/>
      <c r="AP57" s="341">
        <f>ROUND(AVERAGE(5-4*(AO57)/(AO26)),1)</f>
        <v>5</v>
      </c>
      <c r="AQ57" s="344">
        <f t="shared" ref="AQ57" si="40">AP57*0.15</f>
        <v>0.75</v>
      </c>
      <c r="AR57" s="331"/>
      <c r="AS57" s="331"/>
      <c r="AT57" s="340"/>
      <c r="AU57" s="345">
        <f>ROUND(AVERAGE(5-4*(AT57)/(AT26)),1)</f>
        <v>5</v>
      </c>
      <c r="AV57" s="346">
        <f t="shared" ref="AV57" si="41">AU57*0.15</f>
        <v>0.75</v>
      </c>
      <c r="AW57" s="331"/>
      <c r="AX57" s="331"/>
      <c r="AY57" s="331"/>
      <c r="AZ57" s="331"/>
      <c r="BA57" s="345">
        <f>ROUND(AVERAGE(5-4*(AZ57)/(AZ26)),1)</f>
        <v>5</v>
      </c>
      <c r="BB57" s="346">
        <f t="shared" ref="BB57" si="42">BA57*0.15</f>
        <v>0.75</v>
      </c>
      <c r="BC57" s="336">
        <v>3</v>
      </c>
      <c r="BD57" s="345">
        <f>5-(4*BC57/BC26)</f>
        <v>4.5555555555555554</v>
      </c>
      <c r="BE57" s="346">
        <f t="shared" ref="BE57" si="43">BD57*0.1</f>
        <v>0.45555555555555555</v>
      </c>
      <c r="BF57" s="336"/>
      <c r="BG57" s="349">
        <f>ROUND(AVERAGE(5-4*(BF57)/(BF26)),1)</f>
        <v>5</v>
      </c>
      <c r="BH57" s="346">
        <f t="shared" ref="BH57" si="44">BG57*0.3</f>
        <v>1.5</v>
      </c>
      <c r="BI57" s="348" t="s">
        <v>93</v>
      </c>
      <c r="BJ57" s="348" t="s">
        <v>93</v>
      </c>
      <c r="BK57" s="348" t="s">
        <v>95</v>
      </c>
      <c r="BL57" s="350">
        <v>45911</v>
      </c>
    </row>
    <row r="58" spans="1:64" x14ac:dyDescent="0.3">
      <c r="A58" s="272">
        <v>47</v>
      </c>
      <c r="B58" s="273" t="s">
        <v>304</v>
      </c>
      <c r="C58" s="237" t="s">
        <v>305</v>
      </c>
      <c r="D58" s="86">
        <v>26</v>
      </c>
      <c r="E58" s="83">
        <v>35</v>
      </c>
      <c r="F58" s="93">
        <f>SUM(D58+E58)</f>
        <v>61</v>
      </c>
      <c r="G58" s="266">
        <f>ROUND(AVERAGE(5-4*(F58)/(F9)),1)</f>
        <v>2.6</v>
      </c>
      <c r="H58" s="245">
        <f t="shared" si="27"/>
        <v>0.39</v>
      </c>
      <c r="I58" s="250"/>
      <c r="J58" s="250"/>
      <c r="K58" s="87">
        <v>37</v>
      </c>
      <c r="L58" s="87">
        <v>33</v>
      </c>
      <c r="M58" s="81">
        <f t="shared" si="3"/>
        <v>70</v>
      </c>
      <c r="N58" s="266">
        <f>ROUND(AVERAGE(5-4*(M58)/(M9)),1)</f>
        <v>2.2000000000000002</v>
      </c>
      <c r="O58" s="108">
        <f t="shared" si="24"/>
        <v>0.33</v>
      </c>
      <c r="P58" s="250"/>
      <c r="Q58" s="250"/>
      <c r="R58" s="83">
        <v>36</v>
      </c>
      <c r="S58" s="83">
        <v>30</v>
      </c>
      <c r="T58" s="93">
        <f t="shared" si="4"/>
        <v>66</v>
      </c>
      <c r="U58" s="106">
        <f>ROUND(AVERAGE(5-4*(T58)/(T9)),1)</f>
        <v>2.4</v>
      </c>
      <c r="V58" s="108">
        <f t="shared" si="5"/>
        <v>0.36</v>
      </c>
      <c r="W58" s="83">
        <v>90</v>
      </c>
      <c r="X58" s="83">
        <v>100</v>
      </c>
      <c r="Y58" s="96">
        <f t="shared" si="6"/>
        <v>190</v>
      </c>
      <c r="Z58" s="106">
        <f>ROUND(AVERAGE(5-4*(Y58)/(Y9)),1)</f>
        <v>1.2</v>
      </c>
      <c r="AA58" s="108">
        <f t="shared" si="7"/>
        <v>0.18</v>
      </c>
      <c r="AB58" s="98">
        <v>27</v>
      </c>
      <c r="AC58" s="106">
        <f t="shared" si="8"/>
        <v>1</v>
      </c>
      <c r="AD58" s="108">
        <f t="shared" si="9"/>
        <v>0.1</v>
      </c>
      <c r="AE58" s="83">
        <v>15</v>
      </c>
      <c r="AF58" s="107">
        <f t="shared" si="10"/>
        <v>4.0999999999999996</v>
      </c>
      <c r="AG58" s="108">
        <f t="shared" si="11"/>
        <v>1.2299999999999998</v>
      </c>
      <c r="AH58" s="96">
        <v>13</v>
      </c>
      <c r="AI58" s="93">
        <v>7</v>
      </c>
      <c r="AJ58" s="96">
        <f t="shared" si="12"/>
        <v>20</v>
      </c>
      <c r="AK58" s="106">
        <f>ROUND(AVERAGE(5-4*(AJ58)/(AJ9)),1)</f>
        <v>4.2</v>
      </c>
      <c r="AL58" s="108">
        <f t="shared" si="13"/>
        <v>0.63</v>
      </c>
      <c r="AM58" s="93">
        <v>32</v>
      </c>
      <c r="AN58" s="93">
        <v>33</v>
      </c>
      <c r="AO58" s="96">
        <f t="shared" si="14"/>
        <v>65</v>
      </c>
      <c r="AP58" s="106">
        <f>ROUND(AVERAGE(5-4*(AO58)/(AO9)),1)</f>
        <v>2.4</v>
      </c>
      <c r="AQ58" s="149">
        <f t="shared" si="15"/>
        <v>0.36</v>
      </c>
      <c r="AR58" s="93">
        <v>30</v>
      </c>
      <c r="AS58" s="93">
        <v>32</v>
      </c>
      <c r="AT58" s="96">
        <f>SUM(AR58+AS58)</f>
        <v>62</v>
      </c>
      <c r="AU58" s="148">
        <f>ROUND(AVERAGE(5-4*(AT58)/(AT9)),1)</f>
        <v>2.5</v>
      </c>
      <c r="AV58" s="149">
        <f t="shared" si="17"/>
        <v>0.375</v>
      </c>
      <c r="AW58" s="93">
        <v>85</v>
      </c>
      <c r="AX58" s="93">
        <v>85</v>
      </c>
      <c r="AY58" s="93">
        <v>87</v>
      </c>
      <c r="AZ58" s="93">
        <f t="shared" si="18"/>
        <v>257</v>
      </c>
      <c r="BA58" s="148">
        <f>ROUND(AVERAGE(5-4*(AZ58)/(AZ9)),1)</f>
        <v>1.6</v>
      </c>
      <c r="BB58" s="149">
        <f t="shared" si="19"/>
        <v>0.24</v>
      </c>
      <c r="BC58" s="216">
        <v>27</v>
      </c>
      <c r="BD58" s="148">
        <f>5-(4*BC58/BC9)</f>
        <v>1</v>
      </c>
      <c r="BE58" s="149">
        <f t="shared" si="20"/>
        <v>0.1</v>
      </c>
      <c r="BF58" s="81">
        <v>18</v>
      </c>
      <c r="BG58" s="157">
        <f>ROUND(AVERAGE(5-4*(BF58)/(BF9)),1)</f>
        <v>4</v>
      </c>
      <c r="BH58" s="149">
        <f t="shared" si="21"/>
        <v>1.2</v>
      </c>
      <c r="BI58" s="165">
        <f>H58+O58+V58+AA58+AD58+AG58</f>
        <v>2.59</v>
      </c>
      <c r="BJ58" s="165">
        <f t="shared" si="29"/>
        <v>2.9050000000000002</v>
      </c>
      <c r="BK58" s="165">
        <v>2.4</v>
      </c>
      <c r="BL58" s="81" t="s">
        <v>91</v>
      </c>
    </row>
    <row r="59" spans="1:64" ht="15" customHeight="1" x14ac:dyDescent="0.3">
      <c r="A59" s="637"/>
      <c r="B59" s="637"/>
      <c r="C59" s="270" t="s">
        <v>211</v>
      </c>
      <c r="D59" s="308"/>
      <c r="E59" s="4"/>
      <c r="F59" s="4"/>
      <c r="G59" s="4"/>
      <c r="H59" s="4"/>
      <c r="I59" s="4"/>
      <c r="J59" s="4"/>
      <c r="K59" s="58"/>
      <c r="L59" s="4"/>
      <c r="M59" s="58"/>
      <c r="N59" s="4"/>
      <c r="O59" s="4"/>
      <c r="P59" s="4"/>
      <c r="Q59" s="4"/>
      <c r="R59" s="4"/>
      <c r="S59" s="4"/>
      <c r="T59" s="4"/>
      <c r="U59" s="4"/>
      <c r="V59" s="21"/>
      <c r="W59" s="4"/>
      <c r="X59" s="4"/>
      <c r="Y59" s="4"/>
      <c r="Z59" s="638"/>
      <c r="AA59" s="638"/>
      <c r="AB59" s="638"/>
      <c r="AC59" s="638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9"/>
      <c r="AR59" s="49"/>
      <c r="AS59" s="49"/>
      <c r="AT59" s="49"/>
      <c r="AU59" s="49"/>
      <c r="AV59" s="49"/>
      <c r="AW59" s="49"/>
      <c r="AX59" s="49"/>
      <c r="AY59" s="49"/>
      <c r="AZ59" s="49"/>
      <c r="BA59" s="49"/>
      <c r="BB59" s="49"/>
      <c r="BC59" s="49"/>
      <c r="BD59" s="49"/>
      <c r="BE59" s="49"/>
      <c r="BF59" s="49"/>
      <c r="BG59" s="49"/>
      <c r="BH59" s="49"/>
      <c r="BI59" s="49"/>
      <c r="BJ59" s="49"/>
      <c r="BK59" s="49"/>
      <c r="BL59" s="49"/>
    </row>
    <row r="60" spans="1:64" x14ac:dyDescent="0.3">
      <c r="K60" s="23"/>
      <c r="L60"/>
      <c r="M60" s="23"/>
      <c r="Z60" s="104"/>
      <c r="AA60" s="104"/>
      <c r="AB60" s="104"/>
      <c r="AC60" s="104"/>
      <c r="AD60" s="104"/>
      <c r="AE60" s="104"/>
      <c r="AF60" s="104"/>
      <c r="AG60" s="104"/>
      <c r="AH60" s="104"/>
      <c r="AI60" s="104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/>
      <c r="BB60" s="46"/>
      <c r="BC60" s="46"/>
      <c r="BD60" s="46"/>
      <c r="BE60" s="46"/>
      <c r="BF60" s="46"/>
      <c r="BG60" s="46"/>
      <c r="BH60" s="46"/>
      <c r="BI60" s="46"/>
      <c r="BJ60" s="46"/>
      <c r="BK60" s="46"/>
      <c r="BL60" s="46"/>
    </row>
    <row r="61" spans="1:64" x14ac:dyDescent="0.3">
      <c r="AE61" s="173"/>
      <c r="AF61" s="173"/>
      <c r="AG61" s="173"/>
      <c r="AH61" s="173"/>
      <c r="AI61" s="173"/>
      <c r="AJ61" s="173"/>
      <c r="AK61" s="173"/>
      <c r="AL61" s="173"/>
      <c r="AM61" s="173"/>
      <c r="AZ61" s="46"/>
      <c r="BA61" s="46"/>
      <c r="BB61" s="46"/>
      <c r="BC61" s="46"/>
      <c r="BD61" s="46"/>
      <c r="BE61" s="46"/>
      <c r="BF61" s="46"/>
      <c r="BG61" s="46"/>
      <c r="BH61" s="46"/>
      <c r="BI61" s="46"/>
      <c r="BJ61" s="46"/>
      <c r="BK61" s="46"/>
      <c r="BL61" s="46"/>
    </row>
    <row r="62" spans="1:64" x14ac:dyDescent="0.3">
      <c r="AE62" s="173"/>
      <c r="AF62" s="173"/>
      <c r="AG62" s="173"/>
      <c r="AH62" s="173"/>
      <c r="AI62" s="173"/>
      <c r="AJ62" s="173"/>
      <c r="AK62" s="173"/>
      <c r="AL62" s="173"/>
      <c r="AM62" s="173"/>
      <c r="AZ62" s="46"/>
      <c r="BA62" s="46"/>
      <c r="BB62" s="46"/>
      <c r="BC62" s="46"/>
      <c r="BD62" s="46"/>
      <c r="BE62" s="46"/>
      <c r="BF62" s="46"/>
      <c r="BG62" s="46"/>
      <c r="BH62" s="46"/>
      <c r="BI62" s="46"/>
      <c r="BJ62" s="46"/>
      <c r="BK62" s="46"/>
      <c r="BL62" s="46"/>
    </row>
    <row r="63" spans="1:64" x14ac:dyDescent="0.3">
      <c r="AY63" s="46"/>
      <c r="AZ63" s="46"/>
      <c r="BA63" s="46"/>
      <c r="BB63" s="46"/>
      <c r="BC63" s="46"/>
      <c r="BD63" s="46"/>
      <c r="BE63" s="46"/>
      <c r="BF63" s="46"/>
      <c r="BG63" s="46"/>
      <c r="BH63" s="46"/>
      <c r="BI63" s="46"/>
      <c r="BJ63" s="46"/>
      <c r="BK63" s="46"/>
      <c r="BL63" s="46"/>
    </row>
    <row r="64" spans="1:64" x14ac:dyDescent="0.3">
      <c r="C64" s="557" t="s">
        <v>60</v>
      </c>
      <c r="D64" s="557"/>
      <c r="E64" s="557"/>
      <c r="F64" s="557"/>
      <c r="G64" s="557"/>
      <c r="AM64" s="558"/>
      <c r="AN64" s="558"/>
      <c r="AO64" s="558"/>
      <c r="AP64" s="558"/>
      <c r="AQ64" s="558"/>
      <c r="AR64" s="558"/>
      <c r="AS64" s="558"/>
      <c r="AT64" s="46"/>
      <c r="AU64" s="46"/>
      <c r="AV64" s="46"/>
      <c r="AW64" s="46"/>
      <c r="AX64" s="46"/>
      <c r="AY64" s="46"/>
      <c r="AZ64" s="46"/>
      <c r="BA64" s="46"/>
      <c r="BB64" s="46"/>
      <c r="BC64" s="46"/>
      <c r="BD64" s="46"/>
      <c r="BE64" s="46"/>
      <c r="BF64" s="46"/>
      <c r="BG64" s="46"/>
      <c r="BH64" s="46"/>
      <c r="BI64" s="46"/>
      <c r="BJ64" s="46"/>
      <c r="BK64" s="46"/>
      <c r="BL64" s="46"/>
    </row>
    <row r="65" spans="5:64" x14ac:dyDescent="0.3">
      <c r="AQ65" s="46"/>
      <c r="AR65" s="46"/>
      <c r="AS65" s="46"/>
      <c r="AT65" s="46"/>
      <c r="AU65" s="46"/>
      <c r="AV65" s="46"/>
      <c r="AW65" s="46"/>
      <c r="AX65" s="46"/>
      <c r="AY65" s="46"/>
      <c r="AZ65" s="46"/>
      <c r="BA65" s="46"/>
      <c r="BB65" s="46"/>
      <c r="BC65" s="46"/>
      <c r="BD65" s="46"/>
      <c r="BE65" s="46"/>
      <c r="BF65" s="46"/>
      <c r="BG65" s="46"/>
      <c r="BH65" s="46"/>
      <c r="BI65" s="46"/>
      <c r="BJ65" s="46"/>
      <c r="BK65" s="46"/>
      <c r="BL65" s="46"/>
    </row>
    <row r="66" spans="5:64" x14ac:dyDescent="0.3">
      <c r="E66" s="540" t="s">
        <v>61</v>
      </c>
      <c r="F66" s="540"/>
      <c r="G66" s="540"/>
      <c r="H66" s="540"/>
      <c r="I66" s="540"/>
      <c r="J66" s="540"/>
      <c r="K66" s="540"/>
      <c r="L66" s="540"/>
      <c r="M66" s="540"/>
      <c r="N66" s="540"/>
      <c r="O66" s="540"/>
      <c r="AQ66" s="540" t="s">
        <v>519</v>
      </c>
      <c r="AR66" s="540"/>
      <c r="AS66" s="540"/>
      <c r="AT66" s="540"/>
      <c r="AU66" s="540"/>
      <c r="AV66" s="540"/>
      <c r="AW66" s="540"/>
      <c r="AX66" s="540"/>
      <c r="AY66" s="540"/>
      <c r="AZ66" s="540"/>
      <c r="BA66" s="540"/>
      <c r="BB66" s="540"/>
    </row>
    <row r="67" spans="5:64" ht="12.6" customHeight="1" x14ac:dyDescent="0.3">
      <c r="F67" s="541" t="s">
        <v>50</v>
      </c>
      <c r="G67" s="541"/>
      <c r="H67" s="541"/>
      <c r="I67" s="541"/>
      <c r="J67" s="541"/>
      <c r="K67" s="541"/>
      <c r="L67" s="541"/>
      <c r="M67" s="541"/>
      <c r="N67" s="541"/>
      <c r="AR67" s="542" t="s">
        <v>52</v>
      </c>
      <c r="AS67" s="542"/>
      <c r="AT67" s="542"/>
      <c r="AU67" s="542"/>
      <c r="AV67" s="542"/>
      <c r="AW67" s="542"/>
      <c r="AX67" s="542"/>
      <c r="AY67" s="542"/>
      <c r="AZ67" s="542"/>
      <c r="BA67" s="542"/>
    </row>
    <row r="68" spans="5:64" ht="24" customHeight="1" x14ac:dyDescent="0.3"/>
  </sheetData>
  <mergeCells count="69">
    <mergeCell ref="D3:H3"/>
    <mergeCell ref="I3:Z3"/>
    <mergeCell ref="AR3:AV3"/>
    <mergeCell ref="AW3:BH3"/>
    <mergeCell ref="C1:BL1"/>
    <mergeCell ref="D2:H2"/>
    <mergeCell ref="I2:Z2"/>
    <mergeCell ref="AR2:AV2"/>
    <mergeCell ref="AW2:BH2"/>
    <mergeCell ref="D4:H4"/>
    <mergeCell ref="I4:Z4"/>
    <mergeCell ref="AR4:AV4"/>
    <mergeCell ref="AW4:BH4"/>
    <mergeCell ref="D5:H5"/>
    <mergeCell ref="I5:Z5"/>
    <mergeCell ref="AR5:AV5"/>
    <mergeCell ref="AW5:BH5"/>
    <mergeCell ref="Q7:AD7"/>
    <mergeCell ref="V8:V9"/>
    <mergeCell ref="W8:X8"/>
    <mergeCell ref="Z8:Z9"/>
    <mergeCell ref="AA8:AA9"/>
    <mergeCell ref="A7:A9"/>
    <mergeCell ref="B7:B9"/>
    <mergeCell ref="C7:C9"/>
    <mergeCell ref="D7:H7"/>
    <mergeCell ref="J7:P7"/>
    <mergeCell ref="BJ7:BJ9"/>
    <mergeCell ref="BK7:BK9"/>
    <mergeCell ref="BL7:BL9"/>
    <mergeCell ref="G8:G9"/>
    <mergeCell ref="H8:H9"/>
    <mergeCell ref="I8:J8"/>
    <mergeCell ref="N8:N9"/>
    <mergeCell ref="O8:O9"/>
    <mergeCell ref="R8:S8"/>
    <mergeCell ref="U8:U9"/>
    <mergeCell ref="AE7:AG7"/>
    <mergeCell ref="AH7:AL7"/>
    <mergeCell ref="AM7:AQ7"/>
    <mergeCell ref="AR7:BE7"/>
    <mergeCell ref="BF7:BH7"/>
    <mergeCell ref="BI7:BI9"/>
    <mergeCell ref="BH8:BH9"/>
    <mergeCell ref="A59:B59"/>
    <mergeCell ref="Z59:AC59"/>
    <mergeCell ref="C64:G64"/>
    <mergeCell ref="AM64:AS64"/>
    <mergeCell ref="AV8:AV9"/>
    <mergeCell ref="AW8:AX8"/>
    <mergeCell ref="BA8:BA9"/>
    <mergeCell ref="BB8:BB9"/>
    <mergeCell ref="BD8:BD9"/>
    <mergeCell ref="BE8:BE9"/>
    <mergeCell ref="AC8:AC9"/>
    <mergeCell ref="AD8:AD9"/>
    <mergeCell ref="AF8:AF9"/>
    <mergeCell ref="AG8:AG9"/>
    <mergeCell ref="AK8:AK9"/>
    <mergeCell ref="E66:O66"/>
    <mergeCell ref="AQ66:BB66"/>
    <mergeCell ref="F67:N67"/>
    <mergeCell ref="AR67:BA67"/>
    <mergeCell ref="BG8:BG9"/>
    <mergeCell ref="AL8:AL9"/>
    <mergeCell ref="AP8:AP9"/>
    <mergeCell ref="AQ8:AQ9"/>
    <mergeCell ref="AR8:AS8"/>
    <mergeCell ref="AU8:AU9"/>
  </mergeCells>
  <pageMargins left="0.23622047244094491" right="0.23622047244094491" top="0.35433070866141736" bottom="0.35433070866141736" header="0.31496062992125984" footer="0.31496062992125984"/>
  <pageSetup paperSize="14" scale="72" fitToHeight="0" orientation="landscape" horizontalDpi="4294967292" verticalDpi="4294967292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  <pageSetUpPr fitToPage="1"/>
  </sheetPr>
  <dimension ref="A1:CC54"/>
  <sheetViews>
    <sheetView topLeftCell="A31" zoomScale="106" zoomScaleNormal="131" zoomScaleSheetLayoutView="130" zoomScalePageLayoutView="140" workbookViewId="0">
      <selection activeCell="AB54" sqref="AB54"/>
    </sheetView>
  </sheetViews>
  <sheetFormatPr defaultColWidth="8.88671875" defaultRowHeight="14.4" x14ac:dyDescent="0.3"/>
  <cols>
    <col min="1" max="1" width="3.109375" customWidth="1"/>
    <col min="2" max="2" width="9.77734375" customWidth="1"/>
    <col min="3" max="3" width="19.88671875" customWidth="1"/>
    <col min="4" max="4" width="3.21875" customWidth="1"/>
    <col min="5" max="5" width="2.88671875" customWidth="1"/>
    <col min="6" max="7" width="3.21875" customWidth="1"/>
    <col min="8" max="8" width="3.6640625" customWidth="1"/>
    <col min="9" max="9" width="2.44140625" hidden="1" customWidth="1"/>
    <col min="10" max="10" width="3" hidden="1" customWidth="1"/>
    <col min="11" max="11" width="2.88671875" customWidth="1"/>
    <col min="12" max="12" width="2.6640625" style="23" customWidth="1"/>
    <col min="13" max="14" width="3" customWidth="1"/>
    <col min="15" max="15" width="3.6640625" customWidth="1"/>
    <col min="16" max="16" width="2.77734375" hidden="1" customWidth="1"/>
    <col min="17" max="17" width="3" hidden="1" customWidth="1"/>
    <col min="18" max="18" width="2.88671875" customWidth="1"/>
    <col min="19" max="19" width="2.6640625" customWidth="1"/>
    <col min="20" max="20" width="3.109375" customWidth="1"/>
    <col min="21" max="21" width="3" customWidth="1"/>
    <col min="22" max="24" width="3.21875" customWidth="1"/>
    <col min="25" max="25" width="3" customWidth="1"/>
    <col min="26" max="26" width="3.109375" customWidth="1"/>
    <col min="27" max="27" width="2.77734375" customWidth="1"/>
    <col min="28" max="28" width="3.21875" customWidth="1"/>
    <col min="29" max="29" width="3" customWidth="1"/>
    <col min="30" max="30" width="3.21875" customWidth="1"/>
    <col min="31" max="32" width="3" customWidth="1"/>
    <col min="33" max="33" width="3.21875" customWidth="1"/>
    <col min="34" max="34" width="2.77734375" customWidth="1"/>
    <col min="35" max="35" width="3.109375" customWidth="1"/>
    <col min="36" max="36" width="3.21875" customWidth="1"/>
    <col min="37" max="37" width="3.109375" customWidth="1"/>
    <col min="38" max="38" width="3.21875" customWidth="1"/>
    <col min="39" max="40" width="2.6640625" customWidth="1"/>
    <col min="41" max="41" width="3" customWidth="1"/>
    <col min="42" max="42" width="3.109375" customWidth="1"/>
    <col min="43" max="43" width="3.21875" customWidth="1"/>
    <col min="44" max="44" width="2.77734375" customWidth="1"/>
    <col min="45" max="46" width="3.109375" customWidth="1"/>
    <col min="47" max="47" width="3.21875" customWidth="1"/>
    <col min="48" max="48" width="3.33203125" customWidth="1"/>
    <col min="49" max="49" width="3.88671875" customWidth="1"/>
    <col min="50" max="50" width="3" customWidth="1"/>
    <col min="51" max="52" width="3.6640625" customWidth="1"/>
    <col min="53" max="53" width="2.88671875" customWidth="1"/>
    <col min="54" max="54" width="3.21875" customWidth="1"/>
    <col min="55" max="55" width="3.33203125" customWidth="1"/>
    <col min="56" max="57" width="3.109375" customWidth="1"/>
    <col min="58" max="58" width="3.33203125" customWidth="1"/>
    <col min="59" max="59" width="3.109375" customWidth="1"/>
    <col min="60" max="60" width="3.44140625" customWidth="1"/>
    <col min="61" max="62" width="3.109375" customWidth="1"/>
    <col min="63" max="63" width="3.21875" customWidth="1"/>
    <col min="64" max="64" width="8.77734375" customWidth="1"/>
  </cols>
  <sheetData>
    <row r="1" spans="1:64" ht="14.4" customHeight="1" x14ac:dyDescent="0.3">
      <c r="A1" s="538" t="s">
        <v>209</v>
      </c>
      <c r="B1" s="538"/>
      <c r="C1" s="538"/>
      <c r="D1" s="538"/>
      <c r="E1" s="538"/>
      <c r="F1" s="538"/>
      <c r="G1" s="538"/>
      <c r="H1" s="538"/>
      <c r="I1" s="538"/>
      <c r="J1" s="538"/>
      <c r="K1" s="538"/>
      <c r="L1" s="538"/>
      <c r="M1" s="538"/>
      <c r="N1" s="538"/>
      <c r="O1" s="538"/>
      <c r="P1" s="538"/>
      <c r="Q1" s="538"/>
      <c r="R1" s="538"/>
      <c r="S1" s="538"/>
      <c r="T1" s="538"/>
      <c r="U1" s="538"/>
      <c r="V1" s="538"/>
      <c r="W1" s="538"/>
      <c r="X1" s="538"/>
      <c r="Y1" s="538"/>
      <c r="Z1" s="538"/>
      <c r="AA1" s="538"/>
      <c r="AB1" s="538"/>
      <c r="AC1" s="538"/>
      <c r="AD1" s="538"/>
      <c r="AE1" s="538"/>
      <c r="AF1" s="538"/>
      <c r="AG1" s="538"/>
      <c r="AH1" s="538"/>
      <c r="AI1" s="538"/>
      <c r="AJ1" s="538"/>
      <c r="AK1" s="538"/>
      <c r="AL1" s="538"/>
      <c r="AM1" s="538"/>
      <c r="AN1" s="538"/>
      <c r="AO1" s="538"/>
      <c r="AP1" s="538"/>
      <c r="AQ1" s="538"/>
      <c r="AR1" s="538"/>
      <c r="AS1" s="538"/>
      <c r="AT1" s="538"/>
      <c r="AU1" s="538"/>
      <c r="AV1" s="538"/>
      <c r="AW1" s="538"/>
      <c r="AX1" s="538"/>
      <c r="AY1" s="538"/>
      <c r="AZ1" s="538"/>
      <c r="BA1" s="538"/>
      <c r="BB1" s="538"/>
      <c r="BC1" s="538"/>
      <c r="BD1" s="538"/>
      <c r="BE1" s="538"/>
      <c r="BF1" s="538"/>
      <c r="BG1" s="538"/>
      <c r="BH1" s="538"/>
      <c r="BI1" s="538"/>
      <c r="BJ1" s="538"/>
      <c r="BK1" s="538"/>
      <c r="BL1" s="538"/>
    </row>
    <row r="2" spans="1:64" ht="12.6" customHeight="1" x14ac:dyDescent="0.3">
      <c r="C2" s="9"/>
      <c r="D2" s="632" t="s">
        <v>19</v>
      </c>
      <c r="E2" s="632"/>
      <c r="F2" s="632"/>
      <c r="G2" s="632"/>
      <c r="H2" s="632"/>
      <c r="I2" s="633" t="s">
        <v>63</v>
      </c>
      <c r="J2" s="633"/>
      <c r="K2" s="633"/>
      <c r="L2" s="633"/>
      <c r="M2" s="633"/>
      <c r="N2" s="633"/>
      <c r="O2" s="633"/>
      <c r="P2" s="633"/>
      <c r="Q2" s="633"/>
      <c r="R2" s="633"/>
      <c r="S2" s="633"/>
      <c r="T2" s="633"/>
      <c r="U2" s="633"/>
      <c r="V2" s="633"/>
      <c r="W2" s="633"/>
      <c r="X2" s="633"/>
      <c r="Y2" s="633"/>
      <c r="Z2" s="633"/>
      <c r="AQ2" s="34"/>
      <c r="AR2" s="639" t="s">
        <v>21</v>
      </c>
      <c r="AS2" s="639"/>
      <c r="AT2" s="639"/>
      <c r="AU2" s="639"/>
      <c r="AV2" s="639"/>
      <c r="AW2" s="639"/>
      <c r="AX2" s="676" t="s">
        <v>210</v>
      </c>
      <c r="AY2" s="635"/>
      <c r="AZ2" s="635"/>
      <c r="BA2" s="635"/>
      <c r="BB2" s="635"/>
      <c r="BC2" s="635"/>
      <c r="BD2" s="635"/>
      <c r="BE2" s="635"/>
      <c r="BF2" s="635"/>
      <c r="BG2" s="635"/>
      <c r="BH2" s="635"/>
    </row>
    <row r="3" spans="1:64" ht="13.8" customHeight="1" x14ac:dyDescent="0.3">
      <c r="D3" s="632" t="s">
        <v>20</v>
      </c>
      <c r="E3" s="632"/>
      <c r="F3" s="632"/>
      <c r="G3" s="632"/>
      <c r="H3" s="632"/>
      <c r="I3" s="633" t="s">
        <v>64</v>
      </c>
      <c r="J3" s="633"/>
      <c r="K3" s="633"/>
      <c r="L3" s="633"/>
      <c r="M3" s="633"/>
      <c r="N3" s="633"/>
      <c r="O3" s="633"/>
      <c r="P3" s="633"/>
      <c r="Q3" s="633"/>
      <c r="R3" s="633"/>
      <c r="S3" s="633"/>
      <c r="T3" s="633"/>
      <c r="U3" s="633"/>
      <c r="V3" s="633"/>
      <c r="W3" s="633"/>
      <c r="X3" s="633"/>
      <c r="Y3" s="633"/>
      <c r="Z3" s="633"/>
      <c r="AQ3" s="34"/>
      <c r="AR3" s="639" t="s">
        <v>40</v>
      </c>
      <c r="AS3" s="639"/>
      <c r="AT3" s="639"/>
      <c r="AU3" s="639"/>
      <c r="AV3" s="639"/>
      <c r="AW3" s="639"/>
      <c r="AX3" s="676" t="s">
        <v>66</v>
      </c>
      <c r="AY3" s="635"/>
      <c r="AZ3" s="635"/>
      <c r="BA3" s="635"/>
      <c r="BB3" s="635"/>
      <c r="BC3" s="635"/>
      <c r="BD3" s="635"/>
      <c r="BE3" s="635"/>
      <c r="BF3" s="635"/>
      <c r="BG3" s="635"/>
      <c r="BH3" s="635"/>
    </row>
    <row r="4" spans="1:64" ht="13.2" customHeight="1" x14ac:dyDescent="0.3">
      <c r="C4" s="9" t="s">
        <v>36</v>
      </c>
      <c r="D4" s="632" t="s">
        <v>22</v>
      </c>
      <c r="E4" s="632"/>
      <c r="F4" s="632"/>
      <c r="G4" s="632"/>
      <c r="H4" s="632"/>
      <c r="I4" s="633" t="s">
        <v>472</v>
      </c>
      <c r="J4" s="633"/>
      <c r="K4" s="633"/>
      <c r="L4" s="633"/>
      <c r="M4" s="633"/>
      <c r="N4" s="633"/>
      <c r="O4" s="633"/>
      <c r="P4" s="633"/>
      <c r="Q4" s="633"/>
      <c r="R4" s="633"/>
      <c r="S4" s="633"/>
      <c r="T4" s="633"/>
      <c r="U4" s="633"/>
      <c r="V4" s="633"/>
      <c r="W4" s="633"/>
      <c r="X4" s="633"/>
      <c r="Y4" s="633"/>
      <c r="Z4" s="633"/>
      <c r="AD4" t="s">
        <v>96</v>
      </c>
      <c r="AQ4" s="34"/>
      <c r="AR4" s="639" t="s">
        <v>41</v>
      </c>
      <c r="AS4" s="639"/>
      <c r="AT4" s="639"/>
      <c r="AU4" s="639"/>
      <c r="AV4" s="639"/>
      <c r="AW4" s="639"/>
      <c r="AX4" s="676" t="s">
        <v>311</v>
      </c>
      <c r="AY4" s="635"/>
      <c r="AZ4" s="635"/>
      <c r="BA4" s="635"/>
      <c r="BB4" s="635"/>
      <c r="BC4" s="635"/>
      <c r="BD4" s="635"/>
      <c r="BE4" s="635"/>
      <c r="BF4" s="635"/>
      <c r="BG4" s="635"/>
      <c r="BH4" s="635"/>
    </row>
    <row r="5" spans="1:64" ht="13.8" customHeight="1" x14ac:dyDescent="0.3">
      <c r="C5" s="9"/>
      <c r="D5" s="632" t="s">
        <v>23</v>
      </c>
      <c r="E5" s="632"/>
      <c r="F5" s="632"/>
      <c r="G5" s="632"/>
      <c r="H5" s="632"/>
      <c r="I5" s="633" t="s">
        <v>65</v>
      </c>
      <c r="J5" s="633"/>
      <c r="K5" s="633"/>
      <c r="L5" s="633"/>
      <c r="M5" s="633"/>
      <c r="N5" s="633"/>
      <c r="O5" s="633"/>
      <c r="P5" s="633"/>
      <c r="Q5" s="633"/>
      <c r="R5" s="633"/>
      <c r="S5" s="633"/>
      <c r="T5" s="633"/>
      <c r="U5" s="633"/>
      <c r="V5" s="633"/>
      <c r="W5" s="633"/>
      <c r="X5" s="633"/>
      <c r="Y5" s="633"/>
      <c r="Z5" s="633"/>
      <c r="AQ5" s="34"/>
      <c r="AR5" s="639" t="s">
        <v>42</v>
      </c>
      <c r="AS5" s="639"/>
      <c r="AT5" s="639"/>
      <c r="AU5" s="639"/>
      <c r="AV5" s="639"/>
      <c r="AW5" s="639"/>
      <c r="AX5" s="676" t="s">
        <v>312</v>
      </c>
      <c r="AY5" s="635"/>
      <c r="AZ5" s="635"/>
      <c r="BA5" s="635"/>
      <c r="BB5" s="635"/>
      <c r="BC5" s="635"/>
      <c r="BD5" s="635"/>
      <c r="BE5" s="635"/>
      <c r="BF5" s="635"/>
      <c r="BG5" s="635"/>
      <c r="BH5" s="635"/>
    </row>
    <row r="6" spans="1:64" ht="10.199999999999999" customHeight="1" x14ac:dyDescent="0.3">
      <c r="C6" s="111" t="s">
        <v>37</v>
      </c>
      <c r="D6" s="16"/>
      <c r="E6" s="16"/>
      <c r="I6" s="5"/>
      <c r="K6" s="10"/>
      <c r="M6" s="7"/>
      <c r="Y6" s="8"/>
    </row>
    <row r="7" spans="1:64" ht="18" customHeight="1" x14ac:dyDescent="0.3">
      <c r="A7" s="610" t="s">
        <v>8</v>
      </c>
      <c r="B7" s="613" t="s">
        <v>24</v>
      </c>
      <c r="C7" s="616" t="s">
        <v>17</v>
      </c>
      <c r="D7" s="619" t="s">
        <v>62</v>
      </c>
      <c r="E7" s="620"/>
      <c r="F7" s="620"/>
      <c r="G7" s="620"/>
      <c r="H7" s="621"/>
      <c r="I7" s="69"/>
      <c r="J7" s="622" t="s">
        <v>67</v>
      </c>
      <c r="K7" s="623"/>
      <c r="L7" s="623"/>
      <c r="M7" s="623"/>
      <c r="N7" s="623"/>
      <c r="O7" s="623"/>
      <c r="P7" s="624"/>
      <c r="Q7" s="625" t="s">
        <v>30</v>
      </c>
      <c r="R7" s="626"/>
      <c r="S7" s="626"/>
      <c r="T7" s="626"/>
      <c r="U7" s="626"/>
      <c r="V7" s="626"/>
      <c r="W7" s="626"/>
      <c r="X7" s="626"/>
      <c r="Y7" s="626"/>
      <c r="Z7" s="626"/>
      <c r="AA7" s="626"/>
      <c r="AB7" s="626"/>
      <c r="AC7" s="626"/>
      <c r="AD7" s="627"/>
      <c r="AE7" s="687" t="s">
        <v>31</v>
      </c>
      <c r="AF7" s="688"/>
      <c r="AG7" s="689"/>
      <c r="AH7" s="597" t="s">
        <v>62</v>
      </c>
      <c r="AI7" s="598"/>
      <c r="AJ7" s="598"/>
      <c r="AK7" s="598"/>
      <c r="AL7" s="690"/>
      <c r="AM7" s="673" t="s">
        <v>73</v>
      </c>
      <c r="AN7" s="673"/>
      <c r="AO7" s="673"/>
      <c r="AP7" s="673"/>
      <c r="AQ7" s="673"/>
      <c r="AR7" s="658" t="s">
        <v>75</v>
      </c>
      <c r="AS7" s="659"/>
      <c r="AT7" s="659"/>
      <c r="AU7" s="659"/>
      <c r="AV7" s="659"/>
      <c r="AW7" s="659"/>
      <c r="AX7" s="659"/>
      <c r="AY7" s="659"/>
      <c r="AZ7" s="659"/>
      <c r="BA7" s="659"/>
      <c r="BB7" s="659"/>
      <c r="BC7" s="659"/>
      <c r="BD7" s="659"/>
      <c r="BE7" s="659"/>
      <c r="BF7" s="649" t="s">
        <v>32</v>
      </c>
      <c r="BG7" s="650"/>
      <c r="BH7" s="651"/>
      <c r="BI7" s="640" t="s">
        <v>88</v>
      </c>
      <c r="BJ7" s="643" t="s">
        <v>89</v>
      </c>
      <c r="BK7" s="646" t="s">
        <v>90</v>
      </c>
      <c r="BL7" s="584" t="s">
        <v>16</v>
      </c>
    </row>
    <row r="8" spans="1:64" ht="17.399999999999999" customHeight="1" x14ac:dyDescent="0.3">
      <c r="A8" s="611"/>
      <c r="B8" s="614"/>
      <c r="C8" s="617"/>
      <c r="D8" s="113" t="s">
        <v>25</v>
      </c>
      <c r="E8" s="89" t="s">
        <v>26</v>
      </c>
      <c r="F8" s="115" t="s">
        <v>70</v>
      </c>
      <c r="G8" s="587" t="s">
        <v>27</v>
      </c>
      <c r="H8" s="679">
        <v>0.15</v>
      </c>
      <c r="I8" s="590" t="s">
        <v>33</v>
      </c>
      <c r="J8" s="591"/>
      <c r="K8" s="91" t="s">
        <v>33</v>
      </c>
      <c r="L8" s="92" t="s">
        <v>34</v>
      </c>
      <c r="M8" s="112" t="s">
        <v>70</v>
      </c>
      <c r="N8" s="576" t="s">
        <v>27</v>
      </c>
      <c r="O8" s="679">
        <v>0.15</v>
      </c>
      <c r="P8" s="72"/>
      <c r="Q8" s="73"/>
      <c r="R8" s="592" t="s">
        <v>68</v>
      </c>
      <c r="S8" s="593"/>
      <c r="T8" s="129" t="s">
        <v>70</v>
      </c>
      <c r="U8" s="594" t="s">
        <v>27</v>
      </c>
      <c r="V8" s="683">
        <v>0.15</v>
      </c>
      <c r="W8" s="685" t="s">
        <v>69</v>
      </c>
      <c r="X8" s="686"/>
      <c r="Y8" s="130" t="s">
        <v>70</v>
      </c>
      <c r="Z8" s="552" t="s">
        <v>27</v>
      </c>
      <c r="AA8" s="681">
        <v>0.15</v>
      </c>
      <c r="AB8" s="97" t="s">
        <v>71</v>
      </c>
      <c r="AC8" s="576" t="s">
        <v>27</v>
      </c>
      <c r="AD8" s="679">
        <v>0.1</v>
      </c>
      <c r="AE8" s="99" t="s">
        <v>28</v>
      </c>
      <c r="AF8" s="572" t="s">
        <v>29</v>
      </c>
      <c r="AG8" s="677">
        <v>0.3</v>
      </c>
      <c r="AH8" s="146" t="s">
        <v>25</v>
      </c>
      <c r="AI8" s="126" t="s">
        <v>26</v>
      </c>
      <c r="AJ8" s="147" t="s">
        <v>70</v>
      </c>
      <c r="AK8" s="552" t="s">
        <v>27</v>
      </c>
      <c r="AL8" s="559">
        <v>0.15</v>
      </c>
      <c r="AM8" s="116" t="s">
        <v>33</v>
      </c>
      <c r="AN8" s="117" t="s">
        <v>34</v>
      </c>
      <c r="AO8" s="163" t="s">
        <v>70</v>
      </c>
      <c r="AP8" s="547" t="s">
        <v>27</v>
      </c>
      <c r="AQ8" s="674">
        <v>0.15</v>
      </c>
      <c r="AR8" s="664" t="s">
        <v>68</v>
      </c>
      <c r="AS8" s="665"/>
      <c r="AT8" s="141" t="s">
        <v>70</v>
      </c>
      <c r="AU8" s="547" t="s">
        <v>27</v>
      </c>
      <c r="AV8" s="666">
        <v>0.15</v>
      </c>
      <c r="AW8" s="668" t="s">
        <v>69</v>
      </c>
      <c r="AX8" s="669"/>
      <c r="AY8" s="121" t="s">
        <v>74</v>
      </c>
      <c r="AZ8" s="143" t="s">
        <v>70</v>
      </c>
      <c r="BA8" s="670" t="s">
        <v>27</v>
      </c>
      <c r="BB8" s="656">
        <v>0.15</v>
      </c>
      <c r="BC8" s="144" t="s">
        <v>71</v>
      </c>
      <c r="BD8" s="660" t="s">
        <v>27</v>
      </c>
      <c r="BE8" s="662">
        <v>0.15</v>
      </c>
      <c r="BF8" s="123" t="s">
        <v>28</v>
      </c>
      <c r="BG8" s="652" t="s">
        <v>29</v>
      </c>
      <c r="BH8" s="654">
        <v>0.3</v>
      </c>
      <c r="BI8" s="641"/>
      <c r="BJ8" s="644"/>
      <c r="BK8" s="647"/>
      <c r="BL8" s="585"/>
    </row>
    <row r="9" spans="1:64" ht="13.5" customHeight="1" x14ac:dyDescent="0.3">
      <c r="A9" s="612"/>
      <c r="B9" s="615"/>
      <c r="C9" s="618"/>
      <c r="D9" s="274">
        <v>50</v>
      </c>
      <c r="E9" s="71">
        <v>50</v>
      </c>
      <c r="F9" s="85">
        <v>100</v>
      </c>
      <c r="G9" s="588"/>
      <c r="H9" s="692"/>
      <c r="I9" s="19"/>
      <c r="J9" s="85">
        <v>30</v>
      </c>
      <c r="K9" s="85">
        <v>50</v>
      </c>
      <c r="L9" s="85">
        <v>50</v>
      </c>
      <c r="M9" s="274">
        <v>100</v>
      </c>
      <c r="N9" s="577"/>
      <c r="O9" s="680"/>
      <c r="P9" s="21" t="e">
        <f>ROUND(5-4*#REF!/50,1)</f>
        <v>#REF!</v>
      </c>
      <c r="Q9" s="21" t="e">
        <f>ROUND(5-4*P9/50,1)</f>
        <v>#REF!</v>
      </c>
      <c r="R9" s="372">
        <v>50</v>
      </c>
      <c r="S9" s="85">
        <v>50</v>
      </c>
      <c r="T9" s="94">
        <v>100</v>
      </c>
      <c r="U9" s="594"/>
      <c r="V9" s="684"/>
      <c r="W9" s="372">
        <v>100</v>
      </c>
      <c r="X9" s="372">
        <v>100</v>
      </c>
      <c r="Y9" s="372">
        <v>200</v>
      </c>
      <c r="Z9" s="553"/>
      <c r="AA9" s="682"/>
      <c r="AB9" s="274">
        <v>27</v>
      </c>
      <c r="AC9" s="577"/>
      <c r="AD9" s="680"/>
      <c r="AE9" s="274">
        <v>100</v>
      </c>
      <c r="AF9" s="573"/>
      <c r="AG9" s="678"/>
      <c r="AH9" s="85">
        <v>50</v>
      </c>
      <c r="AI9" s="114">
        <v>50</v>
      </c>
      <c r="AJ9" s="114">
        <v>100</v>
      </c>
      <c r="AK9" s="553"/>
      <c r="AL9" s="672"/>
      <c r="AM9" s="372">
        <v>50</v>
      </c>
      <c r="AN9" s="372">
        <v>50</v>
      </c>
      <c r="AO9" s="372">
        <v>100</v>
      </c>
      <c r="AP9" s="547"/>
      <c r="AQ9" s="674"/>
      <c r="AR9" s="122">
        <v>50</v>
      </c>
      <c r="AS9" s="372">
        <v>50</v>
      </c>
      <c r="AT9" s="124">
        <v>100</v>
      </c>
      <c r="AU9" s="547"/>
      <c r="AV9" s="667"/>
      <c r="AW9" s="398">
        <v>100</v>
      </c>
      <c r="AX9" s="398">
        <v>100</v>
      </c>
      <c r="AY9" s="122">
        <v>100</v>
      </c>
      <c r="AZ9" s="122">
        <v>300</v>
      </c>
      <c r="BA9" s="671"/>
      <c r="BB9" s="657"/>
      <c r="BC9" s="120">
        <v>27</v>
      </c>
      <c r="BD9" s="661"/>
      <c r="BE9" s="663"/>
      <c r="BF9" s="122">
        <v>70</v>
      </c>
      <c r="BG9" s="653"/>
      <c r="BH9" s="655"/>
      <c r="BI9" s="642"/>
      <c r="BJ9" s="645"/>
      <c r="BK9" s="648"/>
      <c r="BL9" s="586"/>
    </row>
    <row r="10" spans="1:64" ht="14.4" customHeight="1" x14ac:dyDescent="0.3">
      <c r="A10" s="42"/>
      <c r="B10" s="42"/>
      <c r="C10" s="496" t="s">
        <v>35</v>
      </c>
      <c r="D10" s="70"/>
      <c r="E10" s="70"/>
      <c r="F10" s="70"/>
      <c r="G10" s="70"/>
      <c r="H10" s="70"/>
      <c r="I10" s="72"/>
      <c r="J10" s="59"/>
      <c r="K10" s="59"/>
      <c r="L10" s="59"/>
      <c r="M10" s="59"/>
      <c r="N10" s="59"/>
      <c r="O10" s="59"/>
      <c r="P10" s="21" t="e">
        <f>ROUND(5-4*#REF!/10,1)</f>
        <v>#REF!</v>
      </c>
      <c r="Q10" s="22"/>
      <c r="R10" s="59"/>
      <c r="S10" s="66"/>
      <c r="T10" s="72"/>
      <c r="U10" s="84"/>
      <c r="V10" s="72"/>
      <c r="W10" s="59"/>
      <c r="X10" s="72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119"/>
      <c r="AM10" s="72"/>
      <c r="AN10" s="72"/>
      <c r="AO10" s="72"/>
      <c r="AQ10" s="118"/>
      <c r="AR10" s="73"/>
      <c r="AS10" s="72"/>
      <c r="BC10" s="100"/>
      <c r="BD10" s="4"/>
      <c r="BE10" s="103"/>
      <c r="BF10" s="4"/>
      <c r="BG10" s="4"/>
      <c r="BH10" s="4"/>
      <c r="BI10" s="4"/>
      <c r="BJ10" s="4"/>
      <c r="BK10" s="4"/>
    </row>
    <row r="11" spans="1:64" ht="15.75" customHeight="1" x14ac:dyDescent="0.3">
      <c r="A11" s="322">
        <v>1</v>
      </c>
      <c r="B11" s="102" t="s">
        <v>432</v>
      </c>
      <c r="C11" s="74" t="s">
        <v>433</v>
      </c>
      <c r="D11" s="76">
        <v>21</v>
      </c>
      <c r="E11" s="76">
        <v>22</v>
      </c>
      <c r="F11" s="96">
        <f>SUM(D11+E11)</f>
        <v>43</v>
      </c>
      <c r="G11" s="106">
        <f>ROUND(AVERAGE(5-4*(F11)/(F9)),1)</f>
        <v>3.3</v>
      </c>
      <c r="H11" s="108">
        <f>G11*0.15</f>
        <v>0.49499999999999994</v>
      </c>
      <c r="I11" s="78">
        <v>28</v>
      </c>
      <c r="J11" s="305">
        <f>ROUND(5-4*I11/30,1)</f>
        <v>1.3</v>
      </c>
      <c r="K11" s="78">
        <v>40</v>
      </c>
      <c r="L11" s="78">
        <v>40</v>
      </c>
      <c r="M11" s="81">
        <f>SUM(K11+L11)</f>
        <v>80</v>
      </c>
      <c r="N11" s="106">
        <f>ROUND(AVERAGE(5-4*(M11)/(M9)),1)</f>
        <v>1.8</v>
      </c>
      <c r="O11" s="108">
        <f>N11*0.15</f>
        <v>0.27</v>
      </c>
      <c r="P11" s="306" t="e">
        <f>ROUND(5-4*#REF!/10,1)</f>
        <v>#REF!</v>
      </c>
      <c r="Q11" s="307"/>
      <c r="R11" s="86">
        <v>40</v>
      </c>
      <c r="S11" s="83">
        <v>50</v>
      </c>
      <c r="T11" s="93">
        <f>SUM(R11+S11)</f>
        <v>90</v>
      </c>
      <c r="U11" s="106">
        <f>ROUND(AVERAGE(5-4*(T11)/(T9)),1)</f>
        <v>1.4</v>
      </c>
      <c r="V11" s="108">
        <f>U11*0.15</f>
        <v>0.21</v>
      </c>
      <c r="W11" s="83">
        <v>100</v>
      </c>
      <c r="X11" s="95">
        <v>100</v>
      </c>
      <c r="Y11" s="96">
        <f>SUM(W11+X11)</f>
        <v>200</v>
      </c>
      <c r="Z11" s="106">
        <f>ROUND(AVERAGE(5-4*(Y11)/(Y9)),1)</f>
        <v>1</v>
      </c>
      <c r="AA11" s="105">
        <f>Z11*0.15</f>
        <v>0.15</v>
      </c>
      <c r="AB11" s="101">
        <v>27</v>
      </c>
      <c r="AC11" s="106">
        <f>5-(4*AB11/27)</f>
        <v>1</v>
      </c>
      <c r="AD11" s="105">
        <f>AC11*0.1</f>
        <v>0.1</v>
      </c>
      <c r="AE11" s="83">
        <v>48</v>
      </c>
      <c r="AF11" s="107">
        <f>ROUND(AVERAGE(5-4*(AE11)/(100)),1)</f>
        <v>3.1</v>
      </c>
      <c r="AG11" s="108">
        <f>AF11*0.3</f>
        <v>0.92999999999999994</v>
      </c>
      <c r="AH11" s="145">
        <v>36</v>
      </c>
      <c r="AI11" s="96">
        <v>33</v>
      </c>
      <c r="AJ11" s="96">
        <f>SUM(AH11+AI11)</f>
        <v>69</v>
      </c>
      <c r="AK11" s="106">
        <f>ROUND(AVERAGE(5-4*(AJ11)/(AJ9)),1)</f>
        <v>2.2000000000000002</v>
      </c>
      <c r="AL11" s="108">
        <f>AK11*0.15</f>
        <v>0.33</v>
      </c>
      <c r="AM11" s="96">
        <v>40</v>
      </c>
      <c r="AN11" s="96">
        <v>40</v>
      </c>
      <c r="AO11" s="96">
        <f>SUM(AM11+AN11)</f>
        <v>80</v>
      </c>
      <c r="AP11" s="148">
        <f>ROUND(AVERAGE(5-4*(AO11)/(AO9)),1)</f>
        <v>1.8</v>
      </c>
      <c r="AQ11" s="149">
        <f>AP11*0.15</f>
        <v>0.27</v>
      </c>
      <c r="AR11" s="96">
        <v>38</v>
      </c>
      <c r="AS11" s="96">
        <v>42</v>
      </c>
      <c r="AT11" s="93">
        <f>SUM(AR11+AS11)</f>
        <v>80</v>
      </c>
      <c r="AU11" s="148">
        <f>ROUND(AVERAGE(5-4*(AT11)/(AT9)),1)</f>
        <v>1.8</v>
      </c>
      <c r="AV11" s="149">
        <f>AU11*0.15</f>
        <v>0.27</v>
      </c>
      <c r="AW11" s="81">
        <v>90</v>
      </c>
      <c r="AX11" s="81">
        <v>92</v>
      </c>
      <c r="AY11" s="81">
        <v>100</v>
      </c>
      <c r="AZ11" s="81">
        <f>SUM(AW11+AX11+AY11)</f>
        <v>282</v>
      </c>
      <c r="BA11" s="148">
        <f>ROUND(AVERAGE(5-4*(AZ11)/(AZ9)), 1)</f>
        <v>1.2</v>
      </c>
      <c r="BB11" s="149">
        <f>BA11*0.15</f>
        <v>0.18</v>
      </c>
      <c r="BC11" s="81">
        <v>27</v>
      </c>
      <c r="BD11" s="148">
        <f>5-(4*BC11/BC9)</f>
        <v>1</v>
      </c>
      <c r="BE11" s="158">
        <f>BD11*0.1</f>
        <v>0.1</v>
      </c>
      <c r="BF11" s="81">
        <v>45</v>
      </c>
      <c r="BG11" s="148">
        <f>ROUND(AVERAGE(5-4*(BF11)/(BF9)),1)</f>
        <v>2.4</v>
      </c>
      <c r="BH11" s="149">
        <f>BG11*0.3</f>
        <v>0.72</v>
      </c>
      <c r="BI11" s="165">
        <f>H11+O11+V11+AA11+AD11+AG11</f>
        <v>2.1549999999999998</v>
      </c>
      <c r="BJ11" s="165">
        <f>AL11+AQ11+AV11+BB11+BE11+BH11</f>
        <v>1.87</v>
      </c>
      <c r="BK11" s="165">
        <f t="shared" ref="BK11:BK42" si="0">(BI11*1/2)+(BJ11*1/2)</f>
        <v>2.0125000000000002</v>
      </c>
      <c r="BL11" s="81" t="s">
        <v>91</v>
      </c>
    </row>
    <row r="12" spans="1:64" ht="15" customHeight="1" x14ac:dyDescent="0.3">
      <c r="A12" s="323">
        <v>2</v>
      </c>
      <c r="B12" s="63" t="s">
        <v>445</v>
      </c>
      <c r="C12" s="74" t="s">
        <v>434</v>
      </c>
      <c r="D12" s="77">
        <v>23</v>
      </c>
      <c r="E12" s="79">
        <v>30</v>
      </c>
      <c r="F12" s="96">
        <f t="shared" ref="F12:F43" si="1">SUM(D12+E12)</f>
        <v>53</v>
      </c>
      <c r="G12" s="106">
        <f>ROUND(AVERAGE(5-4*(F12)/(F9)),1)</f>
        <v>2.9</v>
      </c>
      <c r="H12" s="108">
        <f t="shared" ref="H12:H25" si="2">G12*0.15</f>
        <v>0.435</v>
      </c>
      <c r="I12" s="78">
        <v>30</v>
      </c>
      <c r="J12" s="305">
        <f t="shared" ref="J12:J25" si="3">ROUND(5-4*I12/30,1)</f>
        <v>1</v>
      </c>
      <c r="K12" s="78">
        <v>40</v>
      </c>
      <c r="L12" s="78">
        <v>40</v>
      </c>
      <c r="M12" s="81">
        <f t="shared" ref="M12:M43" si="4">SUM(K12+L12)</f>
        <v>80</v>
      </c>
      <c r="N12" s="106">
        <f>ROUND(AVERAGE(5-4*(M12)/(M9)),1)</f>
        <v>1.8</v>
      </c>
      <c r="O12" s="108">
        <f t="shared" ref="O12:O43" si="5">N12*0.15</f>
        <v>0.27</v>
      </c>
      <c r="P12" s="306" t="e">
        <f>ROUND(5-4*#REF!/10,1)</f>
        <v>#REF!</v>
      </c>
      <c r="Q12" s="307"/>
      <c r="R12" s="86">
        <v>38</v>
      </c>
      <c r="S12" s="86">
        <v>40</v>
      </c>
      <c r="T12" s="93">
        <f t="shared" ref="T12:T43" si="6">SUM(R12+S12)</f>
        <v>78</v>
      </c>
      <c r="U12" s="106">
        <f>ROUND(AVERAGE(5-4*(T12)/(T9)),1)</f>
        <v>1.9</v>
      </c>
      <c r="V12" s="108">
        <f t="shared" ref="V12:V43" si="7">U12*0.15</f>
        <v>0.28499999999999998</v>
      </c>
      <c r="W12" s="83">
        <v>100</v>
      </c>
      <c r="X12" s="95">
        <v>100</v>
      </c>
      <c r="Y12" s="96">
        <f t="shared" ref="Y12:Y43" si="8">SUM(W12+X12)</f>
        <v>200</v>
      </c>
      <c r="Z12" s="106">
        <f>ROUND(AVERAGE(5-4*(Y12)/(Y9)),1)</f>
        <v>1</v>
      </c>
      <c r="AA12" s="105">
        <f t="shared" ref="AA12:AA43" si="9">Z12*0.15</f>
        <v>0.15</v>
      </c>
      <c r="AB12" s="101">
        <v>27</v>
      </c>
      <c r="AC12" s="106">
        <f t="shared" ref="AC12:AC43" si="10">5-(4*AB12/27)</f>
        <v>1</v>
      </c>
      <c r="AD12" s="105">
        <f t="shared" ref="AD12:AD43" si="11">AC12*0.1</f>
        <v>0.1</v>
      </c>
      <c r="AE12" s="83">
        <v>67</v>
      </c>
      <c r="AF12" s="107">
        <f>ROUND(AVERAGE(5-4*(AE12)/(100)),1)</f>
        <v>2.2999999999999998</v>
      </c>
      <c r="AG12" s="108">
        <f t="shared" ref="AG12:AG43" si="12">AF12*0.3</f>
        <v>0.69</v>
      </c>
      <c r="AH12" s="81">
        <v>32</v>
      </c>
      <c r="AI12" s="81">
        <v>46</v>
      </c>
      <c r="AJ12" s="96">
        <f t="shared" ref="AJ12:AJ43" si="13">SUM(AH12+AI12)</f>
        <v>78</v>
      </c>
      <c r="AK12" s="106">
        <f>ROUND(AVERAGE(5-4*(AJ12)/(AJ9)),1)</f>
        <v>1.9</v>
      </c>
      <c r="AL12" s="108">
        <f t="shared" ref="AL12:AL43" si="14">AK12*0.15</f>
        <v>0.28499999999999998</v>
      </c>
      <c r="AM12" s="81">
        <v>39</v>
      </c>
      <c r="AN12" s="81">
        <v>40</v>
      </c>
      <c r="AO12" s="96">
        <f t="shared" ref="AO12" si="15">SUM(AM12+AN12)</f>
        <v>79</v>
      </c>
      <c r="AP12" s="148">
        <f>ROUND(AVERAGE(5-4*(AO12)/(AO9)),1)</f>
        <v>1.8</v>
      </c>
      <c r="AQ12" s="149">
        <f t="shared" ref="AQ12:AQ43" si="16">AP12*0.15</f>
        <v>0.27</v>
      </c>
      <c r="AR12" s="81">
        <v>40</v>
      </c>
      <c r="AS12" s="81">
        <v>41</v>
      </c>
      <c r="AT12" s="93">
        <f t="shared" ref="AT12:AT43" si="17">SUM(AR12+AS12)</f>
        <v>81</v>
      </c>
      <c r="AU12" s="148">
        <f>ROUND(AVERAGE(5-4*(AT12)/(AT9)),1)</f>
        <v>1.8</v>
      </c>
      <c r="AV12" s="149">
        <f t="shared" ref="AV12:AV24" si="18">AU12*0.15</f>
        <v>0.27</v>
      </c>
      <c r="AW12" s="81">
        <v>89</v>
      </c>
      <c r="AX12" s="81">
        <v>92</v>
      </c>
      <c r="AY12" s="81">
        <v>100</v>
      </c>
      <c r="AZ12" s="81">
        <f t="shared" ref="AZ12:AZ43" si="19">SUM(AW12+AX12+AY12)</f>
        <v>281</v>
      </c>
      <c r="BA12" s="148">
        <f>ROUND(AVERAGE(5-4*(AZ12)/(AZ9)), 1)</f>
        <v>1.3</v>
      </c>
      <c r="BB12" s="149">
        <f t="shared" ref="BB12:BB43" si="20">BA12*0.15</f>
        <v>0.19500000000000001</v>
      </c>
      <c r="BC12" s="81">
        <v>25.5</v>
      </c>
      <c r="BD12" s="148">
        <f>5-(4*BC12/BC9)</f>
        <v>1.2222222222222223</v>
      </c>
      <c r="BE12" s="158">
        <f t="shared" ref="BE12:BE43" si="21">BD12*0.1</f>
        <v>0.12222222222222223</v>
      </c>
      <c r="BF12" s="81">
        <v>51</v>
      </c>
      <c r="BG12" s="148">
        <f>ROUND(AVERAGE(5-4*(BF12)/(BF9)),1)</f>
        <v>2.1</v>
      </c>
      <c r="BH12" s="149">
        <f t="shared" ref="BH12:BH43" si="22">BG12*0.3</f>
        <v>0.63</v>
      </c>
      <c r="BI12" s="165">
        <f t="shared" ref="BI12:BI43" si="23">H12+O12+V12+AA12+AD12+AG12</f>
        <v>1.93</v>
      </c>
      <c r="BJ12" s="165">
        <f t="shared" ref="BJ12:BJ43" si="24">AL12+AQ12+AV12+BB12+BE12+BH12</f>
        <v>1.7722222222222221</v>
      </c>
      <c r="BK12" s="165">
        <v>1.8</v>
      </c>
      <c r="BL12" s="81" t="s">
        <v>91</v>
      </c>
    </row>
    <row r="13" spans="1:64" ht="13.5" customHeight="1" x14ac:dyDescent="0.3">
      <c r="A13" s="323"/>
      <c r="B13" s="63"/>
      <c r="C13" s="497" t="s">
        <v>49</v>
      </c>
      <c r="D13" s="77"/>
      <c r="E13" s="79"/>
      <c r="F13" s="96"/>
      <c r="G13" s="106"/>
      <c r="H13" s="108"/>
      <c r="I13" s="78">
        <v>26</v>
      </c>
      <c r="J13" s="305">
        <f t="shared" si="3"/>
        <v>1.5</v>
      </c>
      <c r="K13" s="78"/>
      <c r="L13" s="78"/>
      <c r="M13" s="81"/>
      <c r="N13" s="106"/>
      <c r="O13" s="108"/>
      <c r="P13" s="308"/>
      <c r="Q13" s="308"/>
      <c r="R13" s="86"/>
      <c r="S13" s="86"/>
      <c r="T13" s="93"/>
      <c r="U13" s="106"/>
      <c r="V13" s="108"/>
      <c r="W13" s="83"/>
      <c r="X13" s="95" t="s">
        <v>96</v>
      </c>
      <c r="Y13" s="96"/>
      <c r="Z13" s="106"/>
      <c r="AA13" s="105"/>
      <c r="AB13" s="101"/>
      <c r="AC13" s="106"/>
      <c r="AD13" s="105"/>
      <c r="AE13" s="83"/>
      <c r="AF13" s="107"/>
      <c r="AG13" s="108"/>
      <c r="AH13" s="81"/>
      <c r="AI13" s="81"/>
      <c r="AJ13" s="96"/>
      <c r="AK13" s="106"/>
      <c r="AL13" s="108"/>
      <c r="AM13" s="81"/>
      <c r="AN13" s="81"/>
      <c r="AO13" s="96"/>
      <c r="AP13" s="148"/>
      <c r="AQ13" s="149"/>
      <c r="AR13" s="150"/>
      <c r="AS13" s="81"/>
      <c r="AT13" s="93"/>
      <c r="AU13" s="148"/>
      <c r="AV13" s="149"/>
      <c r="AW13" s="81"/>
      <c r="AX13" s="81"/>
      <c r="AY13" s="150"/>
      <c r="AZ13" s="81"/>
      <c r="BA13" s="148"/>
      <c r="BB13" s="149"/>
      <c r="BC13" s="81"/>
      <c r="BD13" s="148"/>
      <c r="BE13" s="158"/>
      <c r="BF13" s="81"/>
      <c r="BG13" s="148"/>
      <c r="BH13" s="149"/>
      <c r="BI13" s="165"/>
      <c r="BJ13" s="165"/>
      <c r="BK13" s="165"/>
      <c r="BL13" s="81"/>
    </row>
    <row r="14" spans="1:64" ht="14.25" customHeight="1" x14ac:dyDescent="0.3">
      <c r="A14" s="323">
        <v>3</v>
      </c>
      <c r="B14" s="63" t="s">
        <v>446</v>
      </c>
      <c r="C14" s="64" t="s">
        <v>435</v>
      </c>
      <c r="D14" s="77">
        <v>28</v>
      </c>
      <c r="E14" s="79">
        <v>34</v>
      </c>
      <c r="F14" s="96">
        <f t="shared" si="1"/>
        <v>62</v>
      </c>
      <c r="G14" s="106">
        <f>ROUND(AVERAGE(5-4*(F14)/(F9)),1)</f>
        <v>2.5</v>
      </c>
      <c r="H14" s="108">
        <f t="shared" si="2"/>
        <v>0.375</v>
      </c>
      <c r="I14" s="78">
        <v>25</v>
      </c>
      <c r="J14" s="305">
        <f t="shared" si="3"/>
        <v>1.7</v>
      </c>
      <c r="K14" s="78">
        <v>38</v>
      </c>
      <c r="L14" s="78">
        <v>40</v>
      </c>
      <c r="M14" s="81">
        <f t="shared" si="4"/>
        <v>78</v>
      </c>
      <c r="N14" s="106">
        <f>ROUND(AVERAGE(5-4*(M14)/(M9)),1)</f>
        <v>1.9</v>
      </c>
      <c r="O14" s="108">
        <f t="shared" si="5"/>
        <v>0.28499999999999998</v>
      </c>
      <c r="P14" s="306" t="e">
        <f>ROUND(5-4*#REF!/10,1)</f>
        <v>#REF!</v>
      </c>
      <c r="Q14" s="307"/>
      <c r="R14" s="86">
        <v>42</v>
      </c>
      <c r="S14" s="86">
        <v>44</v>
      </c>
      <c r="T14" s="93">
        <f t="shared" si="6"/>
        <v>86</v>
      </c>
      <c r="U14" s="106">
        <f>ROUND(AVERAGE(5-4*(T14)/(T9)),1)</f>
        <v>1.6</v>
      </c>
      <c r="V14" s="108">
        <f t="shared" si="7"/>
        <v>0.24</v>
      </c>
      <c r="W14" s="83">
        <v>100</v>
      </c>
      <c r="X14" s="95">
        <v>100</v>
      </c>
      <c r="Y14" s="96">
        <f t="shared" si="8"/>
        <v>200</v>
      </c>
      <c r="Z14" s="106">
        <f>ROUND(AVERAGE(5-4*(Y14)/(Y9)),1)</f>
        <v>1</v>
      </c>
      <c r="AA14" s="105">
        <f t="shared" si="9"/>
        <v>0.15</v>
      </c>
      <c r="AB14" s="101">
        <v>27</v>
      </c>
      <c r="AC14" s="106">
        <f t="shared" si="10"/>
        <v>1</v>
      </c>
      <c r="AD14" s="105">
        <f t="shared" si="11"/>
        <v>0.1</v>
      </c>
      <c r="AE14" s="83">
        <v>46</v>
      </c>
      <c r="AF14" s="107">
        <f t="shared" ref="AF14:AF20" si="25">ROUND(AVERAGE(5-4*(AE14)/(100)),1)</f>
        <v>3.2</v>
      </c>
      <c r="AG14" s="108">
        <f t="shared" si="12"/>
        <v>0.96</v>
      </c>
      <c r="AH14" s="81">
        <v>28</v>
      </c>
      <c r="AI14" s="81">
        <v>44</v>
      </c>
      <c r="AJ14" s="96">
        <f t="shared" si="13"/>
        <v>72</v>
      </c>
      <c r="AK14" s="106">
        <f>ROUND(AVERAGE(5-4*(AJ14)/(AJ9)),1)</f>
        <v>2.1</v>
      </c>
      <c r="AL14" s="108">
        <f t="shared" si="14"/>
        <v>0.315</v>
      </c>
      <c r="AM14" s="81">
        <v>37</v>
      </c>
      <c r="AN14" s="81">
        <v>40</v>
      </c>
      <c r="AO14" s="96">
        <f>SUM(AM14+AN14)</f>
        <v>77</v>
      </c>
      <c r="AP14" s="148">
        <f>ROUND(AVERAGE(5-4*(AO14)/(AO9)),1)</f>
        <v>1.9</v>
      </c>
      <c r="AQ14" s="149">
        <f t="shared" si="16"/>
        <v>0.28499999999999998</v>
      </c>
      <c r="AR14" s="81">
        <v>40</v>
      </c>
      <c r="AS14" s="81">
        <v>42</v>
      </c>
      <c r="AT14" s="93">
        <f t="shared" si="17"/>
        <v>82</v>
      </c>
      <c r="AU14" s="148">
        <f>ROUND(AVERAGE(5-4*(AT14)/(AT9)),1)</f>
        <v>1.7</v>
      </c>
      <c r="AV14" s="149">
        <f t="shared" si="18"/>
        <v>0.255</v>
      </c>
      <c r="AW14" s="81">
        <v>100</v>
      </c>
      <c r="AX14" s="81">
        <v>100</v>
      </c>
      <c r="AY14" s="81">
        <v>100</v>
      </c>
      <c r="AZ14" s="81">
        <f t="shared" si="19"/>
        <v>300</v>
      </c>
      <c r="BA14" s="148">
        <f>ROUND(AVERAGE(5-4*(AZ14)/(AZ9)), 1)</f>
        <v>1</v>
      </c>
      <c r="BB14" s="149">
        <f t="shared" si="20"/>
        <v>0.15</v>
      </c>
      <c r="BC14" s="81">
        <v>27</v>
      </c>
      <c r="BD14" s="148">
        <f>5-(4*BC14/BC9)</f>
        <v>1</v>
      </c>
      <c r="BE14" s="158">
        <f t="shared" si="21"/>
        <v>0.1</v>
      </c>
      <c r="BF14" s="81">
        <v>40</v>
      </c>
      <c r="BG14" s="148">
        <f>ROUND(AVERAGE(5-4*(BF14)/(BF9)),1)</f>
        <v>2.7</v>
      </c>
      <c r="BH14" s="149">
        <f t="shared" si="22"/>
        <v>0.81</v>
      </c>
      <c r="BI14" s="165">
        <f t="shared" si="23"/>
        <v>2.11</v>
      </c>
      <c r="BJ14" s="165">
        <f t="shared" si="24"/>
        <v>1.915</v>
      </c>
      <c r="BK14" s="165">
        <f t="shared" si="0"/>
        <v>2.0125000000000002</v>
      </c>
      <c r="BL14" s="81" t="s">
        <v>91</v>
      </c>
    </row>
    <row r="15" spans="1:64" ht="15" customHeight="1" x14ac:dyDescent="0.3">
      <c r="A15" s="324">
        <v>4</v>
      </c>
      <c r="B15" s="63" t="s">
        <v>447</v>
      </c>
      <c r="C15" s="74" t="s">
        <v>513</v>
      </c>
      <c r="D15" s="81">
        <v>23</v>
      </c>
      <c r="E15" s="81">
        <v>21</v>
      </c>
      <c r="F15" s="96">
        <f t="shared" si="1"/>
        <v>44</v>
      </c>
      <c r="G15" s="106">
        <f>ROUND(AVERAGE(5-4*(F15)/(F9)),1)</f>
        <v>3.2</v>
      </c>
      <c r="H15" s="108">
        <f t="shared" si="2"/>
        <v>0.48</v>
      </c>
      <c r="I15" s="78">
        <v>26</v>
      </c>
      <c r="J15" s="305">
        <f t="shared" si="3"/>
        <v>1.5</v>
      </c>
      <c r="K15" s="78">
        <v>35</v>
      </c>
      <c r="L15" s="78">
        <v>32</v>
      </c>
      <c r="M15" s="81">
        <f t="shared" si="4"/>
        <v>67</v>
      </c>
      <c r="N15" s="106">
        <f>ROUND(AVERAGE(5-4*(M15)/(M9)),1)</f>
        <v>2.2999999999999998</v>
      </c>
      <c r="O15" s="108">
        <f t="shared" si="5"/>
        <v>0.34499999999999997</v>
      </c>
      <c r="P15" s="306" t="e">
        <f>ROUND(5-4*#REF!/10,1)</f>
        <v>#REF!</v>
      </c>
      <c r="Q15" s="307"/>
      <c r="R15" s="86">
        <v>38</v>
      </c>
      <c r="S15" s="86">
        <v>30</v>
      </c>
      <c r="T15" s="93">
        <f t="shared" si="6"/>
        <v>68</v>
      </c>
      <c r="U15" s="106">
        <f>ROUND(AVERAGE(5-4*(T15)/(T9)),1)</f>
        <v>2.2999999999999998</v>
      </c>
      <c r="V15" s="108">
        <f t="shared" si="7"/>
        <v>0.34499999999999997</v>
      </c>
      <c r="W15" s="86">
        <v>85</v>
      </c>
      <c r="X15" s="95">
        <v>92</v>
      </c>
      <c r="Y15" s="96">
        <f t="shared" si="8"/>
        <v>177</v>
      </c>
      <c r="Z15" s="106">
        <f>ROUND(AVERAGE(5-4*(Y15)/(Y9)),1)</f>
        <v>1.5</v>
      </c>
      <c r="AA15" s="105">
        <f t="shared" si="9"/>
        <v>0.22499999999999998</v>
      </c>
      <c r="AB15" s="101">
        <v>27</v>
      </c>
      <c r="AC15" s="106">
        <f t="shared" si="10"/>
        <v>1</v>
      </c>
      <c r="AD15" s="105">
        <f t="shared" si="11"/>
        <v>0.1</v>
      </c>
      <c r="AE15" s="75">
        <v>53</v>
      </c>
      <c r="AF15" s="107">
        <f t="shared" si="25"/>
        <v>2.9</v>
      </c>
      <c r="AG15" s="108">
        <f t="shared" si="12"/>
        <v>0.87</v>
      </c>
      <c r="AH15" s="81">
        <v>15</v>
      </c>
      <c r="AI15" s="81">
        <v>30</v>
      </c>
      <c r="AJ15" s="96">
        <f t="shared" si="13"/>
        <v>45</v>
      </c>
      <c r="AK15" s="106">
        <f>ROUND(AVERAGE(5-4*(AJ15)/(AJ9)),1)</f>
        <v>3.2</v>
      </c>
      <c r="AL15" s="108">
        <f t="shared" si="14"/>
        <v>0.48</v>
      </c>
      <c r="AM15" s="81">
        <v>35</v>
      </c>
      <c r="AN15" s="81">
        <v>35</v>
      </c>
      <c r="AO15" s="96">
        <f t="shared" ref="AO15:AO43" si="26">SUM(AM15+AN15)</f>
        <v>70</v>
      </c>
      <c r="AP15" s="148">
        <f>ROUND(AVERAGE(5-4*(AO15)/(AO9)),1)</f>
        <v>2.2000000000000002</v>
      </c>
      <c r="AQ15" s="149">
        <f t="shared" si="16"/>
        <v>0.33</v>
      </c>
      <c r="AR15" s="81">
        <v>38</v>
      </c>
      <c r="AS15" s="81">
        <v>40</v>
      </c>
      <c r="AT15" s="93">
        <f t="shared" si="17"/>
        <v>78</v>
      </c>
      <c r="AU15" s="148">
        <f>ROUND(AVERAGE(5-4*(AT15)/(AT9)),1)</f>
        <v>1.9</v>
      </c>
      <c r="AV15" s="149">
        <f t="shared" si="18"/>
        <v>0.28499999999999998</v>
      </c>
      <c r="AW15" s="81">
        <v>85</v>
      </c>
      <c r="AX15" s="81">
        <v>88</v>
      </c>
      <c r="AY15" s="81">
        <v>100</v>
      </c>
      <c r="AZ15" s="81">
        <f t="shared" si="19"/>
        <v>273</v>
      </c>
      <c r="BA15" s="148">
        <f>ROUND(AVERAGE(5-4*(AZ15)/(AZ9)), 1)</f>
        <v>1.4</v>
      </c>
      <c r="BB15" s="149">
        <f>BA15*0.15</f>
        <v>0.21</v>
      </c>
      <c r="BC15" s="81">
        <v>27</v>
      </c>
      <c r="BD15" s="148">
        <f>5-(4*BC15/BC9)</f>
        <v>1</v>
      </c>
      <c r="BE15" s="158">
        <f t="shared" si="21"/>
        <v>0.1</v>
      </c>
      <c r="BF15" s="81">
        <v>38</v>
      </c>
      <c r="BG15" s="148">
        <f>ROUND(AVERAGE(5-4*(BF15)/(BF9)),1)</f>
        <v>2.8</v>
      </c>
      <c r="BH15" s="149">
        <f t="shared" si="22"/>
        <v>0.84</v>
      </c>
      <c r="BI15" s="165">
        <f t="shared" si="23"/>
        <v>2.3650000000000002</v>
      </c>
      <c r="BJ15" s="165">
        <f t="shared" si="24"/>
        <v>2.2450000000000001</v>
      </c>
      <c r="BK15" s="165">
        <f t="shared" si="0"/>
        <v>2.3050000000000002</v>
      </c>
      <c r="BL15" s="81" t="s">
        <v>91</v>
      </c>
    </row>
    <row r="16" spans="1:64" ht="15" customHeight="1" x14ac:dyDescent="0.3">
      <c r="A16" s="322">
        <v>5</v>
      </c>
      <c r="B16" s="199" t="s">
        <v>448</v>
      </c>
      <c r="C16" s="320" t="s">
        <v>436</v>
      </c>
      <c r="D16" s="201">
        <v>33</v>
      </c>
      <c r="E16" s="321">
        <v>28</v>
      </c>
      <c r="F16" s="203">
        <f t="shared" si="1"/>
        <v>61</v>
      </c>
      <c r="G16" s="209">
        <f>ROUND(AVERAGE(5-4*(F16)/(F9)),1)</f>
        <v>2.6</v>
      </c>
      <c r="H16" s="212">
        <f t="shared" si="2"/>
        <v>0.39</v>
      </c>
      <c r="I16" s="205">
        <v>0</v>
      </c>
      <c r="J16" s="310">
        <f t="shared" si="3"/>
        <v>5</v>
      </c>
      <c r="K16" s="205">
        <v>35</v>
      </c>
      <c r="L16" s="205">
        <v>35</v>
      </c>
      <c r="M16" s="81">
        <f t="shared" si="4"/>
        <v>70</v>
      </c>
      <c r="N16" s="209">
        <f>ROUND(AVERAGE(5-4*(M16)/(M9)),1)</f>
        <v>2.2000000000000002</v>
      </c>
      <c r="O16" s="212">
        <f t="shared" si="5"/>
        <v>0.33</v>
      </c>
      <c r="P16" s="311" t="e">
        <f>ROUND(5-4*#REF!/10,1)</f>
        <v>#REF!</v>
      </c>
      <c r="Q16" s="312"/>
      <c r="R16" s="202">
        <v>30</v>
      </c>
      <c r="S16" s="202">
        <v>30</v>
      </c>
      <c r="T16" s="93">
        <f t="shared" si="6"/>
        <v>60</v>
      </c>
      <c r="U16" s="209">
        <f>ROUND(AVERAGE(5-4*(T16)/(T9)),1)</f>
        <v>2.6</v>
      </c>
      <c r="V16" s="212">
        <f t="shared" si="7"/>
        <v>0.39</v>
      </c>
      <c r="W16" s="241">
        <v>70</v>
      </c>
      <c r="X16" s="208">
        <v>80</v>
      </c>
      <c r="Y16" s="96">
        <f t="shared" si="8"/>
        <v>150</v>
      </c>
      <c r="Z16" s="209">
        <f>ROUND(AVERAGE(5-4*(Y16)/(Y9)),1)</f>
        <v>2</v>
      </c>
      <c r="AA16" s="204">
        <f t="shared" si="9"/>
        <v>0.3</v>
      </c>
      <c r="AB16" s="210">
        <v>27</v>
      </c>
      <c r="AC16" s="209">
        <f t="shared" si="10"/>
        <v>1</v>
      </c>
      <c r="AD16" s="204">
        <f t="shared" si="11"/>
        <v>0.1</v>
      </c>
      <c r="AE16" s="241">
        <v>53</v>
      </c>
      <c r="AF16" s="211">
        <f t="shared" si="25"/>
        <v>2.9</v>
      </c>
      <c r="AG16" s="212">
        <f t="shared" si="12"/>
        <v>0.87</v>
      </c>
      <c r="AH16" s="206">
        <v>20</v>
      </c>
      <c r="AI16" s="206">
        <v>44</v>
      </c>
      <c r="AJ16" s="96">
        <f t="shared" si="13"/>
        <v>64</v>
      </c>
      <c r="AK16" s="209">
        <f>ROUND(AVERAGE(5-4*(AJ16)/(AJ9)),1)</f>
        <v>2.4</v>
      </c>
      <c r="AL16" s="212">
        <f t="shared" si="14"/>
        <v>0.36</v>
      </c>
      <c r="AM16" s="206">
        <v>35</v>
      </c>
      <c r="AN16" s="206">
        <v>38</v>
      </c>
      <c r="AO16" s="96">
        <f t="shared" si="26"/>
        <v>73</v>
      </c>
      <c r="AP16" s="213">
        <f>ROUND(AVERAGE(5-4*(AO16)/(AO9)),1)</f>
        <v>2.1</v>
      </c>
      <c r="AQ16" s="214">
        <f t="shared" si="16"/>
        <v>0.315</v>
      </c>
      <c r="AR16" s="206">
        <v>40</v>
      </c>
      <c r="AS16" s="206">
        <v>42</v>
      </c>
      <c r="AT16" s="93">
        <f t="shared" si="17"/>
        <v>82</v>
      </c>
      <c r="AU16" s="213">
        <f>ROUND(AVERAGE(5-4*(AT16)/(AT9)),1)</f>
        <v>1.7</v>
      </c>
      <c r="AV16" s="214">
        <f t="shared" si="18"/>
        <v>0.255</v>
      </c>
      <c r="AW16" s="206">
        <v>85</v>
      </c>
      <c r="AX16" s="206">
        <v>90</v>
      </c>
      <c r="AY16" s="206">
        <v>100</v>
      </c>
      <c r="AZ16" s="81">
        <f t="shared" si="19"/>
        <v>275</v>
      </c>
      <c r="BA16" s="213">
        <f>ROUND(AVERAGE(5-4*(AZ16)/(AZ9)), 1)</f>
        <v>1.3</v>
      </c>
      <c r="BB16" s="214">
        <f t="shared" si="20"/>
        <v>0.19500000000000001</v>
      </c>
      <c r="BC16" s="81">
        <v>27</v>
      </c>
      <c r="BD16" s="213">
        <f>5-(4*BC16/BC9)</f>
        <v>1</v>
      </c>
      <c r="BE16" s="215">
        <f t="shared" si="21"/>
        <v>0.1</v>
      </c>
      <c r="BF16" s="206">
        <v>48</v>
      </c>
      <c r="BG16" s="213">
        <f>ROUND(AVERAGE(5-4*(BF16)/(BF9)),1)</f>
        <v>2.2999999999999998</v>
      </c>
      <c r="BH16" s="214">
        <f t="shared" si="22"/>
        <v>0.69</v>
      </c>
      <c r="BI16" s="165">
        <f t="shared" si="23"/>
        <v>2.38</v>
      </c>
      <c r="BJ16" s="165">
        <f t="shared" si="24"/>
        <v>1.915</v>
      </c>
      <c r="BK16" s="165">
        <f t="shared" si="0"/>
        <v>2.1475</v>
      </c>
      <c r="BL16" s="81" t="s">
        <v>91</v>
      </c>
    </row>
    <row r="17" spans="1:81" ht="14.25" customHeight="1" x14ac:dyDescent="0.3">
      <c r="A17" s="322">
        <v>6</v>
      </c>
      <c r="B17" s="63" t="s">
        <v>449</v>
      </c>
      <c r="C17" s="64" t="s">
        <v>512</v>
      </c>
      <c r="D17" s="77">
        <v>46</v>
      </c>
      <c r="E17" s="79">
        <v>30</v>
      </c>
      <c r="F17" s="96">
        <f t="shared" si="1"/>
        <v>76</v>
      </c>
      <c r="G17" s="106">
        <f>ROUND(AVERAGE(5-4*(F17)/(F9)),1)</f>
        <v>2</v>
      </c>
      <c r="H17" s="108">
        <f t="shared" si="2"/>
        <v>0.3</v>
      </c>
      <c r="I17" s="78">
        <v>26</v>
      </c>
      <c r="J17" s="305">
        <f t="shared" si="3"/>
        <v>1.5</v>
      </c>
      <c r="K17" s="78">
        <v>34</v>
      </c>
      <c r="L17" s="78">
        <v>34</v>
      </c>
      <c r="M17" s="81">
        <f t="shared" si="4"/>
        <v>68</v>
      </c>
      <c r="N17" s="106">
        <f>ROUND(AVERAGE(5-4*(M17)/(M9)),1)</f>
        <v>2.2999999999999998</v>
      </c>
      <c r="O17" s="108">
        <f t="shared" si="5"/>
        <v>0.34499999999999997</v>
      </c>
      <c r="P17" s="306" t="e">
        <f>ROUND(5-4*#REF!/10,1)</f>
        <v>#REF!</v>
      </c>
      <c r="Q17" s="307"/>
      <c r="R17" s="86">
        <v>30</v>
      </c>
      <c r="S17" s="86">
        <v>30</v>
      </c>
      <c r="T17" s="93">
        <f t="shared" si="6"/>
        <v>60</v>
      </c>
      <c r="U17" s="106">
        <f>ROUND(AVERAGE(5-4*(T17)/(T9)),1)</f>
        <v>2.6</v>
      </c>
      <c r="V17" s="108">
        <f t="shared" si="7"/>
        <v>0.39</v>
      </c>
      <c r="W17" s="83">
        <v>85</v>
      </c>
      <c r="X17" s="83">
        <v>90</v>
      </c>
      <c r="Y17" s="96">
        <f t="shared" si="8"/>
        <v>175</v>
      </c>
      <c r="Z17" s="106">
        <f>ROUND(AVERAGE(5-4*(Y17)/(Y9)),1)</f>
        <v>1.5</v>
      </c>
      <c r="AA17" s="105">
        <f t="shared" si="9"/>
        <v>0.22499999999999998</v>
      </c>
      <c r="AB17" s="210">
        <v>27</v>
      </c>
      <c r="AC17" s="106">
        <f t="shared" si="10"/>
        <v>1</v>
      </c>
      <c r="AD17" s="105">
        <f t="shared" si="11"/>
        <v>0.1</v>
      </c>
      <c r="AE17" s="83">
        <v>60</v>
      </c>
      <c r="AF17" s="107">
        <f t="shared" si="25"/>
        <v>2.6</v>
      </c>
      <c r="AG17" s="108">
        <f t="shared" si="12"/>
        <v>0.78</v>
      </c>
      <c r="AH17" s="81">
        <v>26</v>
      </c>
      <c r="AI17" s="81">
        <v>44</v>
      </c>
      <c r="AJ17" s="96">
        <f t="shared" si="13"/>
        <v>70</v>
      </c>
      <c r="AK17" s="106">
        <f>ROUND(AVERAGE(5-4*(AJ17)/(AJ9)),1)</f>
        <v>2.2000000000000002</v>
      </c>
      <c r="AL17" s="108">
        <f t="shared" si="14"/>
        <v>0.33</v>
      </c>
      <c r="AM17" s="81">
        <v>36</v>
      </c>
      <c r="AN17" s="81">
        <v>37</v>
      </c>
      <c r="AO17" s="96">
        <f t="shared" si="26"/>
        <v>73</v>
      </c>
      <c r="AP17" s="148">
        <f>ROUND(AVERAGE(5-4*(AO17)/(AO9)),1)</f>
        <v>2.1</v>
      </c>
      <c r="AQ17" s="149">
        <f t="shared" si="16"/>
        <v>0.315</v>
      </c>
      <c r="AR17" s="81">
        <v>39</v>
      </c>
      <c r="AS17" s="81">
        <v>43</v>
      </c>
      <c r="AT17" s="93">
        <f t="shared" si="17"/>
        <v>82</v>
      </c>
      <c r="AU17" s="148">
        <f>ROUND(AVERAGE(5-4*(AT17)/(AT9)),1)</f>
        <v>1.7</v>
      </c>
      <c r="AV17" s="149">
        <f t="shared" si="18"/>
        <v>0.255</v>
      </c>
      <c r="AW17" s="81">
        <v>100</v>
      </c>
      <c r="AX17" s="81">
        <v>100</v>
      </c>
      <c r="AY17" s="81">
        <v>100</v>
      </c>
      <c r="AZ17" s="81">
        <f t="shared" si="19"/>
        <v>300</v>
      </c>
      <c r="BA17" s="148">
        <f>ROUND(AVERAGE(5-4*(AZ17)/(AZ9)), 1)</f>
        <v>1</v>
      </c>
      <c r="BB17" s="149">
        <f t="shared" si="20"/>
        <v>0.15</v>
      </c>
      <c r="BC17" s="81">
        <v>27</v>
      </c>
      <c r="BD17" s="148">
        <f>5-(4*BC17/BC9)</f>
        <v>1</v>
      </c>
      <c r="BE17" s="158">
        <f t="shared" si="21"/>
        <v>0.1</v>
      </c>
      <c r="BF17" s="81">
        <v>45</v>
      </c>
      <c r="BG17" s="148">
        <f>ROUND(AVERAGE(5-4*(BF17)/(BF9)),1)</f>
        <v>2.4</v>
      </c>
      <c r="BH17" s="149">
        <f t="shared" si="22"/>
        <v>0.72</v>
      </c>
      <c r="BI17" s="165">
        <f t="shared" si="23"/>
        <v>2.1400000000000006</v>
      </c>
      <c r="BJ17" s="165">
        <f t="shared" si="24"/>
        <v>1.87</v>
      </c>
      <c r="BK17" s="165">
        <f t="shared" si="0"/>
        <v>2.0050000000000003</v>
      </c>
      <c r="BL17" s="81" t="s">
        <v>91</v>
      </c>
    </row>
    <row r="18" spans="1:81" s="46" customFormat="1" ht="14.25" customHeight="1" x14ac:dyDescent="0.3">
      <c r="A18" s="325">
        <v>7</v>
      </c>
      <c r="B18" s="199" t="s">
        <v>450</v>
      </c>
      <c r="C18" s="320" t="s">
        <v>511</v>
      </c>
      <c r="D18" s="201">
        <v>23</v>
      </c>
      <c r="E18" s="321">
        <v>20</v>
      </c>
      <c r="F18" s="203">
        <f t="shared" si="1"/>
        <v>43</v>
      </c>
      <c r="G18" s="209">
        <f>ROUND(AVERAGE(5-4*(F18)/(F9)),1)</f>
        <v>3.3</v>
      </c>
      <c r="H18" s="212">
        <f t="shared" si="2"/>
        <v>0.49499999999999994</v>
      </c>
      <c r="I18" s="205">
        <v>0</v>
      </c>
      <c r="J18" s="310">
        <f t="shared" si="3"/>
        <v>5</v>
      </c>
      <c r="K18" s="205">
        <v>37</v>
      </c>
      <c r="L18" s="205">
        <v>32</v>
      </c>
      <c r="M18" s="81">
        <f t="shared" si="4"/>
        <v>69</v>
      </c>
      <c r="N18" s="209">
        <f>ROUND(AVERAGE(5-4*(M18)/(M9)),1)</f>
        <v>2.2000000000000002</v>
      </c>
      <c r="O18" s="212">
        <f t="shared" si="5"/>
        <v>0.33</v>
      </c>
      <c r="P18" s="311" t="e">
        <f>ROUND(5-4*#REF!/10,1)</f>
        <v>#REF!</v>
      </c>
      <c r="Q18" s="312"/>
      <c r="R18" s="202">
        <v>44</v>
      </c>
      <c r="S18" s="202">
        <v>45</v>
      </c>
      <c r="T18" s="93">
        <f t="shared" si="6"/>
        <v>89</v>
      </c>
      <c r="U18" s="209">
        <f>ROUND(AVERAGE(5-4*(T18)/(T9)),1)</f>
        <v>1.4</v>
      </c>
      <c r="V18" s="212">
        <f t="shared" si="7"/>
        <v>0.21</v>
      </c>
      <c r="W18" s="241">
        <v>83</v>
      </c>
      <c r="X18" s="208">
        <v>90</v>
      </c>
      <c r="Y18" s="96">
        <f t="shared" si="8"/>
        <v>173</v>
      </c>
      <c r="Z18" s="209">
        <f>ROUND(AVERAGE(5-4*(Y18)/(Y9)),1)</f>
        <v>1.5</v>
      </c>
      <c r="AA18" s="204">
        <f t="shared" si="9"/>
        <v>0.22499999999999998</v>
      </c>
      <c r="AB18" s="210">
        <v>27</v>
      </c>
      <c r="AC18" s="209">
        <f t="shared" si="10"/>
        <v>1</v>
      </c>
      <c r="AD18" s="204">
        <f t="shared" si="11"/>
        <v>0.1</v>
      </c>
      <c r="AE18" s="241">
        <v>28</v>
      </c>
      <c r="AF18" s="211">
        <f t="shared" si="25"/>
        <v>3.9</v>
      </c>
      <c r="AG18" s="212">
        <f t="shared" si="12"/>
        <v>1.17</v>
      </c>
      <c r="AH18" s="206">
        <v>13</v>
      </c>
      <c r="AI18" s="206">
        <v>38</v>
      </c>
      <c r="AJ18" s="96">
        <f t="shared" si="13"/>
        <v>51</v>
      </c>
      <c r="AK18" s="209">
        <f>ROUND(AVERAGE(5-4*(AJ18)/(AJ9)),1)</f>
        <v>3</v>
      </c>
      <c r="AL18" s="212">
        <f t="shared" si="14"/>
        <v>0.44999999999999996</v>
      </c>
      <c r="AM18" s="206">
        <v>35</v>
      </c>
      <c r="AN18" s="206">
        <v>38</v>
      </c>
      <c r="AO18" s="96">
        <f t="shared" si="26"/>
        <v>73</v>
      </c>
      <c r="AP18" s="213">
        <f>ROUND(AVERAGE(5-4*(AO18)/(AO9)),1)</f>
        <v>2.1</v>
      </c>
      <c r="AQ18" s="214">
        <f t="shared" si="16"/>
        <v>0.315</v>
      </c>
      <c r="AR18" s="206">
        <v>38</v>
      </c>
      <c r="AS18" s="206">
        <v>35</v>
      </c>
      <c r="AT18" s="93">
        <f t="shared" si="17"/>
        <v>73</v>
      </c>
      <c r="AU18" s="213">
        <f>ROUND(AVERAGE(5-4*(AT18)/(AT9)),1)</f>
        <v>2.1</v>
      </c>
      <c r="AV18" s="214">
        <f t="shared" si="18"/>
        <v>0.315</v>
      </c>
      <c r="AW18" s="206">
        <v>85</v>
      </c>
      <c r="AX18" s="206">
        <v>88</v>
      </c>
      <c r="AY18" s="206">
        <v>100</v>
      </c>
      <c r="AZ18" s="81">
        <f t="shared" si="19"/>
        <v>273</v>
      </c>
      <c r="BA18" s="213">
        <f>ROUND(AVERAGE(5-4*(AZ18)/(AZ9)), 1)</f>
        <v>1.4</v>
      </c>
      <c r="BB18" s="214">
        <f t="shared" si="20"/>
        <v>0.21</v>
      </c>
      <c r="BC18" s="81">
        <v>25.5</v>
      </c>
      <c r="BD18" s="213">
        <f>5-(4*BC18/BC9)</f>
        <v>1.2222222222222223</v>
      </c>
      <c r="BE18" s="215">
        <f t="shared" si="21"/>
        <v>0.12222222222222223</v>
      </c>
      <c r="BF18" s="206">
        <v>31</v>
      </c>
      <c r="BG18" s="213">
        <f>ROUND(AVERAGE(5-4*(BF18)/(BF9)),1)</f>
        <v>3.2</v>
      </c>
      <c r="BH18" s="214">
        <f t="shared" si="22"/>
        <v>0.96</v>
      </c>
      <c r="BI18" s="165">
        <f t="shared" si="23"/>
        <v>2.5299999999999998</v>
      </c>
      <c r="BJ18" s="165">
        <f t="shared" si="24"/>
        <v>2.3722222222222218</v>
      </c>
      <c r="BK18" s="165">
        <v>2.4</v>
      </c>
      <c r="BL18" s="81" t="s">
        <v>91</v>
      </c>
    </row>
    <row r="19" spans="1:81" ht="15" customHeight="1" x14ac:dyDescent="0.3">
      <c r="A19" s="322">
        <v>8</v>
      </c>
      <c r="B19" s="199" t="s">
        <v>451</v>
      </c>
      <c r="C19" s="320" t="s">
        <v>514</v>
      </c>
      <c r="D19" s="201">
        <v>24</v>
      </c>
      <c r="E19" s="321">
        <v>24</v>
      </c>
      <c r="F19" s="203">
        <f t="shared" si="1"/>
        <v>48</v>
      </c>
      <c r="G19" s="209">
        <f>ROUND(AVERAGE(5-4*(F19)/(F9)),1)</f>
        <v>3.1</v>
      </c>
      <c r="H19" s="212">
        <f t="shared" si="2"/>
        <v>0.46499999999999997</v>
      </c>
      <c r="I19" s="205">
        <v>28</v>
      </c>
      <c r="J19" s="310">
        <f t="shared" si="3"/>
        <v>1.3</v>
      </c>
      <c r="K19" s="205">
        <v>30</v>
      </c>
      <c r="L19" s="205">
        <v>30</v>
      </c>
      <c r="M19" s="81">
        <f t="shared" si="4"/>
        <v>60</v>
      </c>
      <c r="N19" s="209">
        <f>ROUND(AVERAGE(5-4*(M19)/(M9)),1)</f>
        <v>2.6</v>
      </c>
      <c r="O19" s="212">
        <f t="shared" si="5"/>
        <v>0.39</v>
      </c>
      <c r="P19" s="311" t="e">
        <f>ROUND(5-4*#REF!/10,1)</f>
        <v>#REF!</v>
      </c>
      <c r="Q19" s="312"/>
      <c r="R19" s="202">
        <v>32</v>
      </c>
      <c r="S19" s="202">
        <v>30</v>
      </c>
      <c r="T19" s="93">
        <f t="shared" si="6"/>
        <v>62</v>
      </c>
      <c r="U19" s="209">
        <f>ROUND(AVERAGE(5-4*(T19)/(T9)),1)</f>
        <v>2.5</v>
      </c>
      <c r="V19" s="212">
        <f t="shared" si="7"/>
        <v>0.375</v>
      </c>
      <c r="W19" s="241">
        <v>88</v>
      </c>
      <c r="X19" s="208">
        <v>92</v>
      </c>
      <c r="Y19" s="96">
        <f t="shared" si="8"/>
        <v>180</v>
      </c>
      <c r="Z19" s="209">
        <f>ROUND(AVERAGE(5-4*(Y19)/(Y9)),1)</f>
        <v>1.4</v>
      </c>
      <c r="AA19" s="204">
        <f t="shared" si="9"/>
        <v>0.21</v>
      </c>
      <c r="AB19" s="210">
        <v>25.5</v>
      </c>
      <c r="AC19" s="209">
        <f>5-(4*AB19/27)</f>
        <v>1.2222222222222223</v>
      </c>
      <c r="AD19" s="204">
        <f t="shared" si="11"/>
        <v>0.12222222222222223</v>
      </c>
      <c r="AE19" s="241">
        <v>36</v>
      </c>
      <c r="AF19" s="211">
        <f t="shared" si="25"/>
        <v>3.6</v>
      </c>
      <c r="AG19" s="212">
        <f t="shared" si="12"/>
        <v>1.08</v>
      </c>
      <c r="AH19" s="206">
        <v>26</v>
      </c>
      <c r="AI19" s="206">
        <v>46</v>
      </c>
      <c r="AJ19" s="96">
        <f t="shared" si="13"/>
        <v>72</v>
      </c>
      <c r="AK19" s="209">
        <f>ROUND(AVERAGE(5-4*(AJ19)/(AJ9)),1)</f>
        <v>2.1</v>
      </c>
      <c r="AL19" s="212">
        <f t="shared" si="14"/>
        <v>0.315</v>
      </c>
      <c r="AM19" s="206">
        <v>38</v>
      </c>
      <c r="AN19" s="206">
        <v>38</v>
      </c>
      <c r="AO19" s="96">
        <f t="shared" si="26"/>
        <v>76</v>
      </c>
      <c r="AP19" s="213">
        <f>ROUND(AVERAGE(5-4*(AO19)/(AO9)),1)</f>
        <v>2</v>
      </c>
      <c r="AQ19" s="214">
        <f t="shared" si="16"/>
        <v>0.3</v>
      </c>
      <c r="AR19" s="206">
        <v>40</v>
      </c>
      <c r="AS19" s="206">
        <v>43</v>
      </c>
      <c r="AT19" s="93">
        <f t="shared" si="17"/>
        <v>83</v>
      </c>
      <c r="AU19" s="213">
        <f>ROUND(AVERAGE(5-4*(AT19)/(AT9)),1)</f>
        <v>1.7</v>
      </c>
      <c r="AV19" s="214">
        <f t="shared" si="18"/>
        <v>0.255</v>
      </c>
      <c r="AW19" s="206">
        <v>88</v>
      </c>
      <c r="AX19" s="206">
        <v>90</v>
      </c>
      <c r="AY19" s="206">
        <v>100</v>
      </c>
      <c r="AZ19" s="81">
        <f t="shared" si="19"/>
        <v>278</v>
      </c>
      <c r="BA19" s="213">
        <f>ROUND(AVERAGE(5-4*(AZ19)/(AZ9)), 1)</f>
        <v>1.3</v>
      </c>
      <c r="BB19" s="214">
        <f t="shared" si="20"/>
        <v>0.19500000000000001</v>
      </c>
      <c r="BC19" s="81">
        <v>25.5</v>
      </c>
      <c r="BD19" s="213">
        <f>5-(4*BC19/BC9)</f>
        <v>1.2222222222222223</v>
      </c>
      <c r="BE19" s="215">
        <f t="shared" si="21"/>
        <v>0.12222222222222223</v>
      </c>
      <c r="BF19" s="206">
        <v>41</v>
      </c>
      <c r="BG19" s="213">
        <f>ROUND(AVERAGE(5-4*(BF19)/(BF9)),1)</f>
        <v>2.7</v>
      </c>
      <c r="BH19" s="214">
        <f t="shared" si="22"/>
        <v>0.81</v>
      </c>
      <c r="BI19" s="165">
        <f t="shared" si="23"/>
        <v>2.6422222222222222</v>
      </c>
      <c r="BJ19" s="216">
        <f t="shared" si="24"/>
        <v>1.9972222222222222</v>
      </c>
      <c r="BK19" s="165">
        <f t="shared" si="0"/>
        <v>2.3197222222222225</v>
      </c>
      <c r="BL19" s="206" t="s">
        <v>91</v>
      </c>
    </row>
    <row r="20" spans="1:81" ht="15" customHeight="1" x14ac:dyDescent="0.3">
      <c r="A20" s="322">
        <v>9</v>
      </c>
      <c r="B20" s="199" t="s">
        <v>452</v>
      </c>
      <c r="C20" s="320" t="s">
        <v>510</v>
      </c>
      <c r="D20" s="201">
        <v>43</v>
      </c>
      <c r="E20" s="321">
        <v>27</v>
      </c>
      <c r="F20" s="203">
        <f t="shared" si="1"/>
        <v>70</v>
      </c>
      <c r="G20" s="209">
        <f>ROUND(AVERAGE(5-4*(F20)/(F9)),1)</f>
        <v>2.2000000000000002</v>
      </c>
      <c r="H20" s="212">
        <f t="shared" si="2"/>
        <v>0.33</v>
      </c>
      <c r="I20" s="205">
        <v>28</v>
      </c>
      <c r="J20" s="310">
        <f t="shared" si="3"/>
        <v>1.3</v>
      </c>
      <c r="K20" s="205">
        <v>34</v>
      </c>
      <c r="L20" s="205">
        <v>32</v>
      </c>
      <c r="M20" s="81">
        <f t="shared" si="4"/>
        <v>66</v>
      </c>
      <c r="N20" s="209">
        <f>ROUND(AVERAGE(5-4*(M20)/(M9)),1)</f>
        <v>2.4</v>
      </c>
      <c r="O20" s="212">
        <f t="shared" si="5"/>
        <v>0.36</v>
      </c>
      <c r="P20" s="311" t="e">
        <f>ROUND(5-4*#REF!/10,1)</f>
        <v>#REF!</v>
      </c>
      <c r="Q20" s="312"/>
      <c r="R20" s="202">
        <v>30</v>
      </c>
      <c r="S20" s="241">
        <v>35</v>
      </c>
      <c r="T20" s="93">
        <f t="shared" si="6"/>
        <v>65</v>
      </c>
      <c r="U20" s="209">
        <f>ROUND(AVERAGE(5-4*(T20)/(T9)),1)</f>
        <v>2.4</v>
      </c>
      <c r="V20" s="212">
        <f t="shared" si="7"/>
        <v>0.36</v>
      </c>
      <c r="W20" s="241">
        <v>88</v>
      </c>
      <c r="X20" s="208">
        <v>92</v>
      </c>
      <c r="Y20" s="96">
        <f t="shared" si="8"/>
        <v>180</v>
      </c>
      <c r="Z20" s="209">
        <f>ROUND(AVERAGE(5-4*(Y20)/(Y9)),1)</f>
        <v>1.4</v>
      </c>
      <c r="AA20" s="204">
        <f t="shared" si="9"/>
        <v>0.21</v>
      </c>
      <c r="AB20" s="210">
        <v>27</v>
      </c>
      <c r="AC20" s="209">
        <f t="shared" si="10"/>
        <v>1</v>
      </c>
      <c r="AD20" s="204">
        <f t="shared" si="11"/>
        <v>0.1</v>
      </c>
      <c r="AE20" s="241">
        <v>44</v>
      </c>
      <c r="AF20" s="211">
        <f t="shared" si="25"/>
        <v>3.2</v>
      </c>
      <c r="AG20" s="212">
        <f t="shared" si="12"/>
        <v>0.96</v>
      </c>
      <c r="AH20" s="206">
        <v>22</v>
      </c>
      <c r="AI20" s="206">
        <v>38</v>
      </c>
      <c r="AJ20" s="96">
        <f t="shared" si="13"/>
        <v>60</v>
      </c>
      <c r="AK20" s="209">
        <f>ROUND(AVERAGE(5-4*(AJ20)/(AJ9)),1)</f>
        <v>2.6</v>
      </c>
      <c r="AL20" s="212">
        <f t="shared" si="14"/>
        <v>0.39</v>
      </c>
      <c r="AM20" s="206">
        <v>35</v>
      </c>
      <c r="AN20" s="206">
        <v>35</v>
      </c>
      <c r="AO20" s="96">
        <f t="shared" si="26"/>
        <v>70</v>
      </c>
      <c r="AP20" s="213">
        <f>ROUND(AVERAGE(5-4*(AO20)/(AO9)),1)</f>
        <v>2.2000000000000002</v>
      </c>
      <c r="AQ20" s="214">
        <f t="shared" si="16"/>
        <v>0.33</v>
      </c>
      <c r="AR20" s="206">
        <v>37</v>
      </c>
      <c r="AS20" s="206">
        <v>40</v>
      </c>
      <c r="AT20" s="93">
        <f t="shared" si="17"/>
        <v>77</v>
      </c>
      <c r="AU20" s="213">
        <f>ROUND(AVERAGE(5-4*(AT20)/(AT9)),1)</f>
        <v>1.9</v>
      </c>
      <c r="AV20" s="214">
        <f t="shared" si="18"/>
        <v>0.28499999999999998</v>
      </c>
      <c r="AW20" s="206">
        <v>85</v>
      </c>
      <c r="AX20" s="206">
        <v>87</v>
      </c>
      <c r="AY20" s="206">
        <v>100</v>
      </c>
      <c r="AZ20" s="81">
        <f t="shared" si="19"/>
        <v>272</v>
      </c>
      <c r="BA20" s="213">
        <f>ROUND(AVERAGE(5-4*(AZ20)/(AZ9)), 1)</f>
        <v>1.4</v>
      </c>
      <c r="BB20" s="214">
        <f t="shared" si="20"/>
        <v>0.21</v>
      </c>
      <c r="BC20" s="81">
        <v>25.5</v>
      </c>
      <c r="BD20" s="213">
        <f>5-(4*BC20/BC9)</f>
        <v>1.2222222222222223</v>
      </c>
      <c r="BE20" s="215">
        <f t="shared" si="21"/>
        <v>0.12222222222222223</v>
      </c>
      <c r="BF20" s="206">
        <v>40</v>
      </c>
      <c r="BG20" s="213">
        <f>ROUND(AVERAGE(5-4*(BF20)/(BF9)),1)</f>
        <v>2.7</v>
      </c>
      <c r="BH20" s="214">
        <f t="shared" si="22"/>
        <v>0.81</v>
      </c>
      <c r="BI20" s="165">
        <f t="shared" si="23"/>
        <v>2.3199999999999998</v>
      </c>
      <c r="BJ20" s="216">
        <f t="shared" si="24"/>
        <v>2.1472222222222221</v>
      </c>
      <c r="BK20" s="165">
        <f t="shared" si="0"/>
        <v>2.2336111111111112</v>
      </c>
      <c r="BL20" s="206" t="s">
        <v>91</v>
      </c>
    </row>
    <row r="21" spans="1:81" ht="14.25" customHeight="1" x14ac:dyDescent="0.3">
      <c r="A21" s="322">
        <v>10</v>
      </c>
      <c r="B21" s="199" t="s">
        <v>453</v>
      </c>
      <c r="C21" s="320" t="s">
        <v>509</v>
      </c>
      <c r="D21" s="201">
        <v>29</v>
      </c>
      <c r="E21" s="321">
        <v>34</v>
      </c>
      <c r="F21" s="203">
        <f t="shared" si="1"/>
        <v>63</v>
      </c>
      <c r="G21" s="209">
        <f>ROUND(AVERAGE(5-4*(F21)/(F9)),1)</f>
        <v>2.5</v>
      </c>
      <c r="H21" s="212">
        <f t="shared" si="2"/>
        <v>0.375</v>
      </c>
      <c r="I21" s="205">
        <v>30</v>
      </c>
      <c r="J21" s="310">
        <f t="shared" si="3"/>
        <v>1</v>
      </c>
      <c r="K21" s="205">
        <v>37</v>
      </c>
      <c r="L21" s="205">
        <v>30</v>
      </c>
      <c r="M21" s="81">
        <f t="shared" si="4"/>
        <v>67</v>
      </c>
      <c r="N21" s="209">
        <f>ROUND(AVERAGE(5-4*(M21)/(M9)),1)</f>
        <v>2.2999999999999998</v>
      </c>
      <c r="O21" s="212">
        <f t="shared" si="5"/>
        <v>0.34499999999999997</v>
      </c>
      <c r="P21" s="311" t="e">
        <f>ROUND(5-4*#REF!/10,1)</f>
        <v>#REF!</v>
      </c>
      <c r="Q21" s="312"/>
      <c r="R21" s="202">
        <v>31</v>
      </c>
      <c r="S21" s="206">
        <v>30</v>
      </c>
      <c r="T21" s="93">
        <f t="shared" si="6"/>
        <v>61</v>
      </c>
      <c r="U21" s="209">
        <f>ROUND(AVERAGE(5-4*(T21)/(T9)),1)</f>
        <v>2.6</v>
      </c>
      <c r="V21" s="212">
        <f t="shared" si="7"/>
        <v>0.39</v>
      </c>
      <c r="W21" s="202">
        <v>89</v>
      </c>
      <c r="X21" s="208">
        <v>95</v>
      </c>
      <c r="Y21" s="96">
        <f t="shared" si="8"/>
        <v>184</v>
      </c>
      <c r="Z21" s="209">
        <f>ROUND(AVERAGE(5-4*(Y21)/(Y9)),1)</f>
        <v>1.3</v>
      </c>
      <c r="AA21" s="204">
        <f t="shared" si="9"/>
        <v>0.19500000000000001</v>
      </c>
      <c r="AB21" s="210">
        <v>27</v>
      </c>
      <c r="AC21" s="209">
        <f t="shared" si="10"/>
        <v>1</v>
      </c>
      <c r="AD21" s="204">
        <f t="shared" si="11"/>
        <v>0.1</v>
      </c>
      <c r="AE21" s="240">
        <v>39</v>
      </c>
      <c r="AF21" s="211">
        <f t="shared" ref="AF21:AF43" si="27">ROUND(AVERAGE(5-4*(AE21)/(100)),1)</f>
        <v>3.4</v>
      </c>
      <c r="AG21" s="212">
        <f t="shared" si="12"/>
        <v>1.02</v>
      </c>
      <c r="AH21" s="206">
        <v>34</v>
      </c>
      <c r="AI21" s="206">
        <v>36</v>
      </c>
      <c r="AJ21" s="96">
        <f t="shared" si="13"/>
        <v>70</v>
      </c>
      <c r="AK21" s="209">
        <f>ROUND(AVERAGE(5-4*(AJ21)/(AJ9)),1)</f>
        <v>2.2000000000000002</v>
      </c>
      <c r="AL21" s="212">
        <f t="shared" si="14"/>
        <v>0.33</v>
      </c>
      <c r="AM21" s="206">
        <v>40</v>
      </c>
      <c r="AN21" s="206">
        <v>40</v>
      </c>
      <c r="AO21" s="96">
        <f t="shared" si="26"/>
        <v>80</v>
      </c>
      <c r="AP21" s="213">
        <f>ROUND(AVERAGE(5-4*(AO21)/(AO9)),1)</f>
        <v>1.8</v>
      </c>
      <c r="AQ21" s="214">
        <f t="shared" si="16"/>
        <v>0.27</v>
      </c>
      <c r="AR21" s="206">
        <v>42</v>
      </c>
      <c r="AS21" s="206">
        <v>43</v>
      </c>
      <c r="AT21" s="93">
        <f t="shared" si="17"/>
        <v>85</v>
      </c>
      <c r="AU21" s="213">
        <f>ROUND(AVERAGE(5-4*(AT21)/(AT9)),1)</f>
        <v>1.6</v>
      </c>
      <c r="AV21" s="214">
        <f t="shared" si="18"/>
        <v>0.24</v>
      </c>
      <c r="AW21" s="206">
        <v>90</v>
      </c>
      <c r="AX21" s="206">
        <v>92</v>
      </c>
      <c r="AY21" s="206">
        <v>100</v>
      </c>
      <c r="AZ21" s="81">
        <f t="shared" si="19"/>
        <v>282</v>
      </c>
      <c r="BA21" s="213">
        <f>ROUND(AVERAGE(5-4*(AZ21)/(AZ9)), 1)</f>
        <v>1.2</v>
      </c>
      <c r="BB21" s="214">
        <f t="shared" si="20"/>
        <v>0.18</v>
      </c>
      <c r="BC21" s="81">
        <v>27</v>
      </c>
      <c r="BD21" s="213">
        <f>5-(4*BC21/BC9)</f>
        <v>1</v>
      </c>
      <c r="BE21" s="215">
        <f t="shared" si="21"/>
        <v>0.1</v>
      </c>
      <c r="BF21" s="206">
        <v>54</v>
      </c>
      <c r="BG21" s="213">
        <f>ROUND(AVERAGE(5-4*(BF21)/(BF9)),1)</f>
        <v>1.9</v>
      </c>
      <c r="BH21" s="214">
        <f t="shared" si="22"/>
        <v>0.56999999999999995</v>
      </c>
      <c r="BI21" s="165">
        <f t="shared" si="23"/>
        <v>2.4249999999999998</v>
      </c>
      <c r="BJ21" s="216">
        <f t="shared" si="24"/>
        <v>1.69</v>
      </c>
      <c r="BK21" s="165">
        <v>2</v>
      </c>
      <c r="BL21" s="206" t="s">
        <v>91</v>
      </c>
      <c r="BR21" t="s">
        <v>96</v>
      </c>
    </row>
    <row r="22" spans="1:81" ht="15" customHeight="1" x14ac:dyDescent="0.3">
      <c r="A22" s="323">
        <v>11</v>
      </c>
      <c r="B22" s="199" t="s">
        <v>454</v>
      </c>
      <c r="C22" s="320" t="s">
        <v>508</v>
      </c>
      <c r="D22" s="201">
        <v>24</v>
      </c>
      <c r="E22" s="321">
        <v>22</v>
      </c>
      <c r="F22" s="203">
        <f t="shared" si="1"/>
        <v>46</v>
      </c>
      <c r="G22" s="209">
        <f>ROUND(AVERAGE(5-4*(F22)/(F9)),1)</f>
        <v>3.2</v>
      </c>
      <c r="H22" s="212">
        <f t="shared" si="2"/>
        <v>0.48</v>
      </c>
      <c r="I22" s="205">
        <v>26</v>
      </c>
      <c r="J22" s="310">
        <f t="shared" si="3"/>
        <v>1.5</v>
      </c>
      <c r="K22" s="205">
        <v>35</v>
      </c>
      <c r="L22" s="205">
        <v>30</v>
      </c>
      <c r="M22" s="81">
        <f t="shared" si="4"/>
        <v>65</v>
      </c>
      <c r="N22" s="209">
        <f>ROUND(AVERAGE(5-4*(M22)/(M9)),1)</f>
        <v>2.4</v>
      </c>
      <c r="O22" s="212">
        <f t="shared" si="5"/>
        <v>0.36</v>
      </c>
      <c r="P22" s="311" t="e">
        <f>ROUND(5-4*#REF!/10,1)</f>
        <v>#REF!</v>
      </c>
      <c r="Q22" s="312"/>
      <c r="R22" s="202">
        <v>32</v>
      </c>
      <c r="S22" s="206">
        <v>30</v>
      </c>
      <c r="T22" s="93">
        <f t="shared" si="6"/>
        <v>62</v>
      </c>
      <c r="U22" s="209">
        <f>ROUND(AVERAGE(5-4*(T22)/(T9)),1)</f>
        <v>2.5</v>
      </c>
      <c r="V22" s="212">
        <f>U22*0.15</f>
        <v>0.375</v>
      </c>
      <c r="W22" s="202">
        <v>95</v>
      </c>
      <c r="X22" s="208">
        <v>100</v>
      </c>
      <c r="Y22" s="96">
        <f t="shared" si="8"/>
        <v>195</v>
      </c>
      <c r="Z22" s="209">
        <f>ROUND(AVERAGE(5-4*(Y22)/(Y9)),1)</f>
        <v>1.1000000000000001</v>
      </c>
      <c r="AA22" s="204">
        <f t="shared" si="9"/>
        <v>0.16500000000000001</v>
      </c>
      <c r="AB22" s="210">
        <v>27</v>
      </c>
      <c r="AC22" s="209">
        <f t="shared" si="10"/>
        <v>1</v>
      </c>
      <c r="AD22" s="204">
        <f t="shared" si="11"/>
        <v>0.1</v>
      </c>
      <c r="AE22" s="240">
        <v>54</v>
      </c>
      <c r="AF22" s="211">
        <f t="shared" si="27"/>
        <v>2.8</v>
      </c>
      <c r="AG22" s="212">
        <f t="shared" si="12"/>
        <v>0.84</v>
      </c>
      <c r="AH22" s="206">
        <v>23</v>
      </c>
      <c r="AI22" s="206">
        <v>44</v>
      </c>
      <c r="AJ22" s="96">
        <f t="shared" si="13"/>
        <v>67</v>
      </c>
      <c r="AK22" s="209">
        <f>ROUND(AVERAGE(5-4*(AJ22)/(AJ9)),1)</f>
        <v>2.2999999999999998</v>
      </c>
      <c r="AL22" s="212">
        <f t="shared" si="14"/>
        <v>0.34499999999999997</v>
      </c>
      <c r="AM22" s="206">
        <v>38</v>
      </c>
      <c r="AN22" s="206">
        <v>37</v>
      </c>
      <c r="AO22" s="96">
        <f t="shared" si="26"/>
        <v>75</v>
      </c>
      <c r="AP22" s="213">
        <f>ROUND(AVERAGE(5-4*(AO22)/(AO9)),1)</f>
        <v>2</v>
      </c>
      <c r="AQ22" s="214">
        <f t="shared" si="16"/>
        <v>0.3</v>
      </c>
      <c r="AR22" s="206">
        <v>38</v>
      </c>
      <c r="AS22" s="206">
        <v>44</v>
      </c>
      <c r="AT22" s="93">
        <f t="shared" si="17"/>
        <v>82</v>
      </c>
      <c r="AU22" s="213">
        <f>ROUND(AVERAGE(5-4*(AT22)/(AT9)),1)</f>
        <v>1.7</v>
      </c>
      <c r="AV22" s="214">
        <f t="shared" si="18"/>
        <v>0.255</v>
      </c>
      <c r="AW22" s="206">
        <v>100</v>
      </c>
      <c r="AX22" s="206">
        <v>100</v>
      </c>
      <c r="AY22" s="206">
        <v>100</v>
      </c>
      <c r="AZ22" s="81">
        <f t="shared" si="19"/>
        <v>300</v>
      </c>
      <c r="BA22" s="213">
        <f>ROUND(AVERAGE(5-4*(AZ22)/(AZ9)), 1)</f>
        <v>1</v>
      </c>
      <c r="BB22" s="214">
        <f t="shared" si="20"/>
        <v>0.15</v>
      </c>
      <c r="BC22" s="81">
        <v>27</v>
      </c>
      <c r="BD22" s="213">
        <f>5-(4*BC22/BC9)</f>
        <v>1</v>
      </c>
      <c r="BE22" s="215">
        <f t="shared" si="21"/>
        <v>0.1</v>
      </c>
      <c r="BF22" s="206">
        <v>42</v>
      </c>
      <c r="BG22" s="213">
        <f>ROUND(AVERAGE(5-4*(BF22)/(BF9)),1)</f>
        <v>2.6</v>
      </c>
      <c r="BH22" s="214">
        <f t="shared" si="22"/>
        <v>0.78</v>
      </c>
      <c r="BI22" s="165">
        <f t="shared" si="23"/>
        <v>2.3199999999999998</v>
      </c>
      <c r="BJ22" s="216">
        <f t="shared" si="24"/>
        <v>1.9300000000000002</v>
      </c>
      <c r="BK22" s="165">
        <f t="shared" si="0"/>
        <v>2.125</v>
      </c>
      <c r="BL22" s="206" t="s">
        <v>91</v>
      </c>
    </row>
    <row r="23" spans="1:81" ht="14.25" customHeight="1" x14ac:dyDescent="0.3">
      <c r="A23" s="322">
        <v>12</v>
      </c>
      <c r="B23" s="199" t="s">
        <v>455</v>
      </c>
      <c r="C23" s="320" t="s">
        <v>507</v>
      </c>
      <c r="D23" s="201">
        <v>45</v>
      </c>
      <c r="E23" s="321">
        <v>32</v>
      </c>
      <c r="F23" s="203">
        <f t="shared" si="1"/>
        <v>77</v>
      </c>
      <c r="G23" s="209">
        <f>ROUND(AVERAGE(5-4*(F23)/(F9)),1)</f>
        <v>1.9</v>
      </c>
      <c r="H23" s="212">
        <f t="shared" si="2"/>
        <v>0.28499999999999998</v>
      </c>
      <c r="I23" s="205">
        <v>22</v>
      </c>
      <c r="J23" s="310">
        <f t="shared" si="3"/>
        <v>2.1</v>
      </c>
      <c r="K23" s="205">
        <v>35</v>
      </c>
      <c r="L23" s="205">
        <v>31</v>
      </c>
      <c r="M23" s="81">
        <f t="shared" si="4"/>
        <v>66</v>
      </c>
      <c r="N23" s="209">
        <f>ROUND(AVERAGE(5-4*(M23)/(M9)),1)</f>
        <v>2.4</v>
      </c>
      <c r="O23" s="212">
        <f t="shared" si="5"/>
        <v>0.36</v>
      </c>
      <c r="P23" s="311" t="e">
        <f>ROUND(5-4*#REF!/10,1)</f>
        <v>#REF!</v>
      </c>
      <c r="Q23" s="312"/>
      <c r="R23" s="202">
        <v>30</v>
      </c>
      <c r="S23" s="206">
        <v>30</v>
      </c>
      <c r="T23" s="93">
        <f t="shared" si="6"/>
        <v>60</v>
      </c>
      <c r="U23" s="209">
        <f>ROUND(AVERAGE(5-4*(T23)/(T9)),1)</f>
        <v>2.6</v>
      </c>
      <c r="V23" s="212">
        <f t="shared" si="7"/>
        <v>0.39</v>
      </c>
      <c r="W23" s="241">
        <v>90</v>
      </c>
      <c r="X23" s="208">
        <v>100</v>
      </c>
      <c r="Y23" s="96">
        <f t="shared" si="8"/>
        <v>190</v>
      </c>
      <c r="Z23" s="209">
        <f>ROUND(AVERAGE(5-4*(Y23)/(Y9)),1)</f>
        <v>1.2</v>
      </c>
      <c r="AA23" s="204">
        <f t="shared" si="9"/>
        <v>0.18</v>
      </c>
      <c r="AB23" s="210">
        <v>27</v>
      </c>
      <c r="AC23" s="209">
        <f t="shared" si="10"/>
        <v>1</v>
      </c>
      <c r="AD23" s="204">
        <f t="shared" si="11"/>
        <v>0.1</v>
      </c>
      <c r="AE23" s="241">
        <v>73</v>
      </c>
      <c r="AF23" s="211">
        <f t="shared" si="27"/>
        <v>2.1</v>
      </c>
      <c r="AG23" s="212">
        <f t="shared" si="12"/>
        <v>0.63</v>
      </c>
      <c r="AH23" s="206">
        <v>36</v>
      </c>
      <c r="AI23" s="206">
        <v>48</v>
      </c>
      <c r="AJ23" s="96">
        <f t="shared" si="13"/>
        <v>84</v>
      </c>
      <c r="AK23" s="209">
        <f>ROUND(AVERAGE(5-4*(AJ23)/(AJ9)),1)</f>
        <v>1.6</v>
      </c>
      <c r="AL23" s="212">
        <f t="shared" si="14"/>
        <v>0.24</v>
      </c>
      <c r="AM23" s="206">
        <v>40</v>
      </c>
      <c r="AN23" s="206">
        <v>40</v>
      </c>
      <c r="AO23" s="96">
        <f t="shared" si="26"/>
        <v>80</v>
      </c>
      <c r="AP23" s="213">
        <f>ROUND(AVERAGE(5-4*(AO23)/(AO9)),1)</f>
        <v>1.8</v>
      </c>
      <c r="AQ23" s="214">
        <f t="shared" si="16"/>
        <v>0.27</v>
      </c>
      <c r="AR23" s="206">
        <v>41</v>
      </c>
      <c r="AS23" s="206">
        <v>45</v>
      </c>
      <c r="AT23" s="93">
        <f t="shared" si="17"/>
        <v>86</v>
      </c>
      <c r="AU23" s="213">
        <f>ROUND(AVERAGE(5-4*(AT23)/(AT9)),1)</f>
        <v>1.6</v>
      </c>
      <c r="AV23" s="214">
        <f t="shared" si="18"/>
        <v>0.24</v>
      </c>
      <c r="AW23" s="206">
        <v>100</v>
      </c>
      <c r="AX23" s="206">
        <v>100</v>
      </c>
      <c r="AY23" s="206">
        <v>100</v>
      </c>
      <c r="AZ23" s="81">
        <f t="shared" si="19"/>
        <v>300</v>
      </c>
      <c r="BA23" s="213">
        <f>ROUND(AVERAGE(5-4*(AZ23)/(AZ9)), 1)</f>
        <v>1</v>
      </c>
      <c r="BB23" s="214">
        <f t="shared" si="20"/>
        <v>0.15</v>
      </c>
      <c r="BC23" s="81">
        <v>27</v>
      </c>
      <c r="BD23" s="213">
        <f>5-(4*BC23/BC9)</f>
        <v>1</v>
      </c>
      <c r="BE23" s="215">
        <f t="shared" si="21"/>
        <v>0.1</v>
      </c>
      <c r="BF23" s="206">
        <v>49</v>
      </c>
      <c r="BG23" s="213">
        <f>ROUND(AVERAGE(5-4*(BF23)/(BF9)),1)</f>
        <v>2.2000000000000002</v>
      </c>
      <c r="BH23" s="214">
        <f t="shared" si="22"/>
        <v>0.66</v>
      </c>
      <c r="BI23" s="165">
        <f t="shared" si="23"/>
        <v>1.9450000000000003</v>
      </c>
      <c r="BJ23" s="216">
        <f t="shared" si="24"/>
        <v>1.6600000000000001</v>
      </c>
      <c r="BK23" s="165">
        <f t="shared" si="0"/>
        <v>1.8025000000000002</v>
      </c>
      <c r="BL23" s="206" t="s">
        <v>91</v>
      </c>
    </row>
    <row r="24" spans="1:81" ht="14.25" customHeight="1" x14ac:dyDescent="0.3">
      <c r="A24" s="322">
        <v>13</v>
      </c>
      <c r="B24" s="199" t="s">
        <v>456</v>
      </c>
      <c r="C24" s="320" t="s">
        <v>506</v>
      </c>
      <c r="D24" s="201">
        <v>27</v>
      </c>
      <c r="E24" s="321">
        <v>23</v>
      </c>
      <c r="F24" s="203">
        <f t="shared" si="1"/>
        <v>50</v>
      </c>
      <c r="G24" s="209">
        <f>ROUND(AVERAGE(5-4*(F24)/(F9)),1)</f>
        <v>3</v>
      </c>
      <c r="H24" s="212">
        <f t="shared" si="2"/>
        <v>0.44999999999999996</v>
      </c>
      <c r="I24" s="205">
        <v>26</v>
      </c>
      <c r="J24" s="310">
        <f t="shared" si="3"/>
        <v>1.5</v>
      </c>
      <c r="K24" s="205">
        <v>34</v>
      </c>
      <c r="L24" s="205">
        <v>30</v>
      </c>
      <c r="M24" s="81">
        <f t="shared" si="4"/>
        <v>64</v>
      </c>
      <c r="N24" s="209">
        <f>ROUND(AVERAGE(5-4*(M24)/(M9)),1)</f>
        <v>2.4</v>
      </c>
      <c r="O24" s="212">
        <f t="shared" si="5"/>
        <v>0.36</v>
      </c>
      <c r="P24" s="311" t="e">
        <f>ROUND(5-4*#REF!/10,1)</f>
        <v>#REF!</v>
      </c>
      <c r="Q24" s="312"/>
      <c r="R24" s="202">
        <v>33</v>
      </c>
      <c r="S24" s="206">
        <v>50</v>
      </c>
      <c r="T24" s="93">
        <f t="shared" si="6"/>
        <v>83</v>
      </c>
      <c r="U24" s="209">
        <f>ROUND(AVERAGE(5-4*(T24)/(T9)),1)</f>
        <v>1.7</v>
      </c>
      <c r="V24" s="212">
        <f t="shared" si="7"/>
        <v>0.255</v>
      </c>
      <c r="W24" s="241">
        <v>80</v>
      </c>
      <c r="X24" s="208">
        <v>85</v>
      </c>
      <c r="Y24" s="96">
        <f t="shared" si="8"/>
        <v>165</v>
      </c>
      <c r="Z24" s="209">
        <f>ROUND(AVERAGE(5-4*(Y24)/(Y9)),1)</f>
        <v>1.7</v>
      </c>
      <c r="AA24" s="204">
        <f t="shared" si="9"/>
        <v>0.255</v>
      </c>
      <c r="AB24" s="210">
        <v>27</v>
      </c>
      <c r="AC24" s="209">
        <f t="shared" si="10"/>
        <v>1</v>
      </c>
      <c r="AD24" s="204">
        <f t="shared" si="11"/>
        <v>0.1</v>
      </c>
      <c r="AE24" s="241">
        <v>47</v>
      </c>
      <c r="AF24" s="211">
        <f t="shared" si="27"/>
        <v>3.1</v>
      </c>
      <c r="AG24" s="212">
        <f t="shared" si="12"/>
        <v>0.92999999999999994</v>
      </c>
      <c r="AH24" s="206">
        <v>28</v>
      </c>
      <c r="AI24" s="206">
        <v>44</v>
      </c>
      <c r="AJ24" s="96">
        <f t="shared" si="13"/>
        <v>72</v>
      </c>
      <c r="AK24" s="209">
        <f>ROUND(AVERAGE(5-4*(AJ24)/(AJ9)),1)</f>
        <v>2.1</v>
      </c>
      <c r="AL24" s="212">
        <f t="shared" si="14"/>
        <v>0.315</v>
      </c>
      <c r="AM24" s="206">
        <v>35</v>
      </c>
      <c r="AN24" s="206">
        <v>37</v>
      </c>
      <c r="AO24" s="96">
        <f t="shared" si="26"/>
        <v>72</v>
      </c>
      <c r="AP24" s="213">
        <f>ROUND(AVERAGE(5-4*(AO24)/(AO9)),1)</f>
        <v>2.1</v>
      </c>
      <c r="AQ24" s="214">
        <f t="shared" si="16"/>
        <v>0.315</v>
      </c>
      <c r="AR24" s="206">
        <v>38</v>
      </c>
      <c r="AS24" s="206">
        <v>40</v>
      </c>
      <c r="AT24" s="93">
        <f t="shared" si="17"/>
        <v>78</v>
      </c>
      <c r="AU24" s="213">
        <f>ROUND(AVERAGE(5-4*(AT24)/(AT9)),1)</f>
        <v>1.9</v>
      </c>
      <c r="AV24" s="214">
        <f t="shared" si="18"/>
        <v>0.28499999999999998</v>
      </c>
      <c r="AW24" s="206">
        <v>85</v>
      </c>
      <c r="AX24" s="206">
        <v>88</v>
      </c>
      <c r="AY24" s="206">
        <v>100</v>
      </c>
      <c r="AZ24" s="81">
        <f t="shared" si="19"/>
        <v>273</v>
      </c>
      <c r="BA24" s="213">
        <f>ROUND(AVERAGE(5-4*(AZ24)/(AZ9)), 1)</f>
        <v>1.4</v>
      </c>
      <c r="BB24" s="214">
        <f t="shared" si="20"/>
        <v>0.21</v>
      </c>
      <c r="BC24" s="81">
        <v>25.5</v>
      </c>
      <c r="BD24" s="213">
        <f>5-(4*BC24/BC9)</f>
        <v>1.2222222222222223</v>
      </c>
      <c r="BE24" s="215">
        <f t="shared" si="21"/>
        <v>0.12222222222222223</v>
      </c>
      <c r="BF24" s="206">
        <v>54</v>
      </c>
      <c r="BG24" s="213">
        <f>ROUND(AVERAGE(5-4*(BF24)/(BF9)),1)</f>
        <v>1.9</v>
      </c>
      <c r="BH24" s="214">
        <f t="shared" si="22"/>
        <v>0.56999999999999995</v>
      </c>
      <c r="BI24" s="165">
        <f t="shared" si="23"/>
        <v>2.3499999999999996</v>
      </c>
      <c r="BJ24" s="216">
        <f t="shared" si="24"/>
        <v>1.8172222222222221</v>
      </c>
      <c r="BK24" s="165">
        <f t="shared" si="0"/>
        <v>2.0836111111111109</v>
      </c>
      <c r="BL24" s="206" t="s">
        <v>91</v>
      </c>
    </row>
    <row r="25" spans="1:81" s="20" customFormat="1" ht="16.5" customHeight="1" x14ac:dyDescent="0.3">
      <c r="A25" s="323">
        <v>14</v>
      </c>
      <c r="B25" s="199" t="s">
        <v>457</v>
      </c>
      <c r="C25" s="320" t="s">
        <v>505</v>
      </c>
      <c r="D25" s="201">
        <v>24</v>
      </c>
      <c r="E25" s="321">
        <v>26</v>
      </c>
      <c r="F25" s="203">
        <f t="shared" si="1"/>
        <v>50</v>
      </c>
      <c r="G25" s="351">
        <f>ROUND(AVERAGE(5-4*(F25)/(F9)),1)</f>
        <v>3</v>
      </c>
      <c r="H25" s="212">
        <f t="shared" si="2"/>
        <v>0.44999999999999996</v>
      </c>
      <c r="I25" s="205">
        <v>0</v>
      </c>
      <c r="J25" s="310">
        <f t="shared" si="3"/>
        <v>5</v>
      </c>
      <c r="K25" s="205">
        <v>37</v>
      </c>
      <c r="L25" s="205">
        <v>38</v>
      </c>
      <c r="M25" s="81">
        <f t="shared" si="4"/>
        <v>75</v>
      </c>
      <c r="N25" s="209">
        <f>ROUND(AVERAGE(5-4*(M25)/(M9)),1)</f>
        <v>2</v>
      </c>
      <c r="O25" s="212">
        <f t="shared" si="5"/>
        <v>0.3</v>
      </c>
      <c r="P25" s="311" t="e">
        <f>ROUND(5-4*#REF!/10,1)</f>
        <v>#REF!</v>
      </c>
      <c r="Q25" s="312"/>
      <c r="R25" s="202">
        <v>30</v>
      </c>
      <c r="S25" s="206">
        <v>30</v>
      </c>
      <c r="T25" s="93">
        <f t="shared" si="6"/>
        <v>60</v>
      </c>
      <c r="U25" s="209">
        <f>ROUND(AVERAGE(5-4*(T25)/(T9)),1)</f>
        <v>2.6</v>
      </c>
      <c r="V25" s="212">
        <f t="shared" si="7"/>
        <v>0.39</v>
      </c>
      <c r="W25" s="241">
        <v>70</v>
      </c>
      <c r="X25" s="208">
        <v>80</v>
      </c>
      <c r="Y25" s="96">
        <f t="shared" si="8"/>
        <v>150</v>
      </c>
      <c r="Z25" s="209">
        <f>ROUND(AVERAGE(5-4*(Y25)/(Y9)),1)</f>
        <v>2</v>
      </c>
      <c r="AA25" s="204">
        <f t="shared" si="9"/>
        <v>0.3</v>
      </c>
      <c r="AB25" s="210">
        <v>27</v>
      </c>
      <c r="AC25" s="209">
        <f t="shared" si="10"/>
        <v>1</v>
      </c>
      <c r="AD25" s="204">
        <f t="shared" si="11"/>
        <v>0.1</v>
      </c>
      <c r="AE25" s="241">
        <v>52</v>
      </c>
      <c r="AF25" s="211">
        <f t="shared" si="27"/>
        <v>2.9</v>
      </c>
      <c r="AG25" s="212">
        <f t="shared" si="12"/>
        <v>0.87</v>
      </c>
      <c r="AH25" s="206">
        <v>12</v>
      </c>
      <c r="AI25" s="206">
        <v>32</v>
      </c>
      <c r="AJ25" s="96">
        <f t="shared" si="13"/>
        <v>44</v>
      </c>
      <c r="AK25" s="209">
        <f>ROUND(AVERAGE(5-4*(AJ25)/(AJ9)),1)</f>
        <v>3.2</v>
      </c>
      <c r="AL25" s="212">
        <f t="shared" si="14"/>
        <v>0.48</v>
      </c>
      <c r="AM25" s="206">
        <v>35</v>
      </c>
      <c r="AN25" s="206">
        <v>37</v>
      </c>
      <c r="AO25" s="96">
        <f t="shared" si="26"/>
        <v>72</v>
      </c>
      <c r="AP25" s="213">
        <f>ROUND(AVERAGE(5-4*(AO25)/(AO9)),1)</f>
        <v>2.1</v>
      </c>
      <c r="AQ25" s="214">
        <f t="shared" si="16"/>
        <v>0.315</v>
      </c>
      <c r="AR25" s="206">
        <v>38</v>
      </c>
      <c r="AS25" s="206">
        <v>38</v>
      </c>
      <c r="AT25" s="93">
        <f t="shared" si="17"/>
        <v>76</v>
      </c>
      <c r="AU25" s="213">
        <f>ROUND(AVERAGE(5-4*(AT25)/(AT9)),1)</f>
        <v>2</v>
      </c>
      <c r="AV25" s="214">
        <f>AU25*0.15</f>
        <v>0.3</v>
      </c>
      <c r="AW25" s="206">
        <v>85</v>
      </c>
      <c r="AX25" s="206">
        <v>85</v>
      </c>
      <c r="AY25" s="206">
        <v>100</v>
      </c>
      <c r="AZ25" s="81">
        <f t="shared" si="19"/>
        <v>270</v>
      </c>
      <c r="BA25" s="213">
        <f>ROUND(AVERAGE(5-4*(AZ25)/(AZ9)), 1)</f>
        <v>1.4</v>
      </c>
      <c r="BB25" s="214">
        <f t="shared" si="20"/>
        <v>0.21</v>
      </c>
      <c r="BC25" s="81">
        <v>27</v>
      </c>
      <c r="BD25" s="213">
        <f>5-(4*BC25/BC9)</f>
        <v>1</v>
      </c>
      <c r="BE25" s="215">
        <f t="shared" si="21"/>
        <v>0.1</v>
      </c>
      <c r="BF25" s="206">
        <v>31</v>
      </c>
      <c r="BG25" s="213">
        <f>ROUND(AVERAGE(5-4*(BF25)/(BF9)),1)</f>
        <v>3.2</v>
      </c>
      <c r="BH25" s="214">
        <f t="shared" si="22"/>
        <v>0.96</v>
      </c>
      <c r="BI25" s="165">
        <f t="shared" si="23"/>
        <v>2.41</v>
      </c>
      <c r="BJ25" s="216">
        <f t="shared" si="24"/>
        <v>2.3650000000000002</v>
      </c>
      <c r="BK25" s="165">
        <f t="shared" si="0"/>
        <v>2.3875000000000002</v>
      </c>
      <c r="BL25" s="206" t="s">
        <v>91</v>
      </c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</row>
    <row r="26" spans="1:81" s="20" customFormat="1" ht="15" customHeight="1" x14ac:dyDescent="0.3">
      <c r="A26" s="323">
        <v>15</v>
      </c>
      <c r="B26" s="63" t="s">
        <v>458</v>
      </c>
      <c r="C26" s="64" t="s">
        <v>504</v>
      </c>
      <c r="D26" s="77">
        <v>13</v>
      </c>
      <c r="E26" s="79">
        <v>25</v>
      </c>
      <c r="F26" s="96">
        <f t="shared" si="1"/>
        <v>38</v>
      </c>
      <c r="G26" s="106">
        <f>ROUND(AVERAGE(5-4*(F26)/(F9)),1)</f>
        <v>3.5</v>
      </c>
      <c r="H26" s="108">
        <f>G26*0.15</f>
        <v>0.52500000000000002</v>
      </c>
      <c r="I26" s="78">
        <v>25</v>
      </c>
      <c r="J26" s="305">
        <f>ROUND(5-4*I26/30,1)</f>
        <v>1.7</v>
      </c>
      <c r="K26" s="78">
        <v>36</v>
      </c>
      <c r="L26" s="78">
        <v>30</v>
      </c>
      <c r="M26" s="81">
        <f t="shared" si="4"/>
        <v>66</v>
      </c>
      <c r="N26" s="106">
        <f>ROUND(AVERAGE(5-4*(M26)/(M9)),1)</f>
        <v>2.4</v>
      </c>
      <c r="O26" s="108">
        <f t="shared" si="5"/>
        <v>0.36</v>
      </c>
      <c r="P26" s="306" t="e">
        <f>ROUND(5-4*#REF!/10,1)</f>
        <v>#REF!</v>
      </c>
      <c r="Q26" s="307"/>
      <c r="R26" s="86">
        <v>33</v>
      </c>
      <c r="S26" s="81">
        <v>35</v>
      </c>
      <c r="T26" s="93">
        <f t="shared" si="6"/>
        <v>68</v>
      </c>
      <c r="U26" s="106">
        <f>ROUND(AVERAGE(5-4*(T26)/(T9)),1)</f>
        <v>2.2999999999999998</v>
      </c>
      <c r="V26" s="108">
        <f t="shared" si="7"/>
        <v>0.34499999999999997</v>
      </c>
      <c r="W26" s="83">
        <v>85</v>
      </c>
      <c r="X26" s="95">
        <v>89</v>
      </c>
      <c r="Y26" s="96">
        <f t="shared" si="8"/>
        <v>174</v>
      </c>
      <c r="Z26" s="106">
        <f>ROUND(AVERAGE(5-4*(Y26)/(Y9)),1)</f>
        <v>1.5</v>
      </c>
      <c r="AA26" s="105">
        <f t="shared" si="9"/>
        <v>0.22499999999999998</v>
      </c>
      <c r="AB26" s="101">
        <v>27</v>
      </c>
      <c r="AC26" s="106">
        <f t="shared" si="10"/>
        <v>1</v>
      </c>
      <c r="AD26" s="105">
        <f t="shared" si="11"/>
        <v>0.1</v>
      </c>
      <c r="AE26" s="83">
        <v>43</v>
      </c>
      <c r="AF26" s="211">
        <f t="shared" si="27"/>
        <v>3.3</v>
      </c>
      <c r="AG26" s="108">
        <f t="shared" si="12"/>
        <v>0.98999999999999988</v>
      </c>
      <c r="AH26" s="81">
        <v>23</v>
      </c>
      <c r="AI26" s="81">
        <v>46</v>
      </c>
      <c r="AJ26" s="96">
        <f t="shared" si="13"/>
        <v>69</v>
      </c>
      <c r="AK26" s="106">
        <f>ROUND(AVERAGE(5-4*(AJ26)/(AJ9)),1)</f>
        <v>2.2000000000000002</v>
      </c>
      <c r="AL26" s="108">
        <f t="shared" si="14"/>
        <v>0.33</v>
      </c>
      <c r="AM26" s="81">
        <v>40</v>
      </c>
      <c r="AN26" s="81">
        <v>40</v>
      </c>
      <c r="AO26" s="96">
        <f t="shared" si="26"/>
        <v>80</v>
      </c>
      <c r="AP26" s="148">
        <f>ROUND(AVERAGE(5-4*(AO26)/(AO9)),1)</f>
        <v>1.8</v>
      </c>
      <c r="AQ26" s="149">
        <f t="shared" si="16"/>
        <v>0.27</v>
      </c>
      <c r="AR26" s="81">
        <v>38</v>
      </c>
      <c r="AS26" s="81">
        <v>45</v>
      </c>
      <c r="AT26" s="93">
        <f t="shared" si="17"/>
        <v>83</v>
      </c>
      <c r="AU26" s="148">
        <f>ROUND(AVERAGE(5-4*(AT26)/(AT9)),1)</f>
        <v>1.7</v>
      </c>
      <c r="AV26" s="214">
        <f t="shared" ref="AV26:AV43" si="28">AU26*0.15</f>
        <v>0.255</v>
      </c>
      <c r="AW26" s="81">
        <v>84</v>
      </c>
      <c r="AX26" s="81">
        <v>85</v>
      </c>
      <c r="AY26" s="81">
        <v>100</v>
      </c>
      <c r="AZ26" s="81">
        <f t="shared" si="19"/>
        <v>269</v>
      </c>
      <c r="BA26" s="148">
        <f>ROUND(AVERAGE(5-4*(AZ26)/(AZ9)), 1)</f>
        <v>1.4</v>
      </c>
      <c r="BB26" s="149">
        <f t="shared" si="20"/>
        <v>0.21</v>
      </c>
      <c r="BC26" s="81">
        <v>27</v>
      </c>
      <c r="BD26" s="148">
        <f>5-(4*BC26/BC9)</f>
        <v>1</v>
      </c>
      <c r="BE26" s="158">
        <f t="shared" si="21"/>
        <v>0.1</v>
      </c>
      <c r="BF26" s="81">
        <v>36</v>
      </c>
      <c r="BG26" s="148">
        <f>ROUND(AVERAGE(5-4*(BF26)/(BF9)),1)</f>
        <v>2.9</v>
      </c>
      <c r="BH26" s="149">
        <f t="shared" si="22"/>
        <v>0.87</v>
      </c>
      <c r="BI26" s="165">
        <f t="shared" si="23"/>
        <v>2.5449999999999999</v>
      </c>
      <c r="BJ26" s="165">
        <f t="shared" si="24"/>
        <v>2.0350000000000001</v>
      </c>
      <c r="BK26" s="165">
        <v>2.2000000000000002</v>
      </c>
      <c r="BL26" s="81" t="s">
        <v>91</v>
      </c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</row>
    <row r="27" spans="1:81" s="20" customFormat="1" ht="15.75" customHeight="1" x14ac:dyDescent="0.3">
      <c r="A27" s="393">
        <v>16</v>
      </c>
      <c r="B27" s="387" t="s">
        <v>459</v>
      </c>
      <c r="C27" s="394" t="s">
        <v>503</v>
      </c>
      <c r="D27" s="395">
        <v>30</v>
      </c>
      <c r="E27" s="396">
        <v>26</v>
      </c>
      <c r="F27" s="340">
        <f t="shared" si="1"/>
        <v>56</v>
      </c>
      <c r="G27" s="341">
        <f>ROUND(AVERAGE(5-4*(F27)/(F9)),1)</f>
        <v>2.8</v>
      </c>
      <c r="H27" s="337">
        <f t="shared" ref="H27:H43" si="29">G27*0.15</f>
        <v>0.42</v>
      </c>
      <c r="I27" s="335">
        <v>28</v>
      </c>
      <c r="J27" s="389">
        <f t="shared" ref="J27:J43" si="30">ROUND(5-4*I27/30,1)</f>
        <v>1.3</v>
      </c>
      <c r="K27" s="335">
        <v>28</v>
      </c>
      <c r="L27" s="335">
        <v>28</v>
      </c>
      <c r="M27" s="336">
        <f t="shared" si="4"/>
        <v>56</v>
      </c>
      <c r="N27" s="341">
        <f>ROUND(AVERAGE(5-4*(M27)/(M9)),1)</f>
        <v>2.8</v>
      </c>
      <c r="O27" s="337">
        <f t="shared" si="5"/>
        <v>0.42</v>
      </c>
      <c r="P27" s="390" t="e">
        <f>ROUND(5-4*#REF!/10,1)</f>
        <v>#REF!</v>
      </c>
      <c r="Q27" s="391"/>
      <c r="R27" s="330">
        <v>30</v>
      </c>
      <c r="S27" s="336">
        <v>30</v>
      </c>
      <c r="T27" s="331">
        <f t="shared" si="6"/>
        <v>60</v>
      </c>
      <c r="U27" s="341">
        <f>ROUND(AVERAGE(5-4*(T27)/(T9)),1)</f>
        <v>2.6</v>
      </c>
      <c r="V27" s="337">
        <f t="shared" si="7"/>
        <v>0.39</v>
      </c>
      <c r="W27" s="370">
        <v>100</v>
      </c>
      <c r="X27" s="339">
        <v>100</v>
      </c>
      <c r="Y27" s="340">
        <f t="shared" si="8"/>
        <v>200</v>
      </c>
      <c r="Z27" s="341">
        <f>ROUND(AVERAGE(5-4*(Y27)/(Y9)),1)</f>
        <v>1</v>
      </c>
      <c r="AA27" s="338">
        <f t="shared" si="9"/>
        <v>0.15</v>
      </c>
      <c r="AB27" s="397">
        <v>21</v>
      </c>
      <c r="AC27" s="341">
        <f t="shared" si="10"/>
        <v>1.8888888888888888</v>
      </c>
      <c r="AD27" s="338">
        <f t="shared" si="11"/>
        <v>0.18888888888888888</v>
      </c>
      <c r="AE27" s="370">
        <v>30</v>
      </c>
      <c r="AF27" s="343">
        <f t="shared" si="27"/>
        <v>3.8</v>
      </c>
      <c r="AG27" s="337">
        <f t="shared" si="12"/>
        <v>1.1399999999999999</v>
      </c>
      <c r="AH27" s="336"/>
      <c r="AI27" s="336"/>
      <c r="AJ27" s="340"/>
      <c r="AK27" s="341">
        <f>ROUND(AVERAGE(5-4*(AJ27)/(AJ9)),1)</f>
        <v>5</v>
      </c>
      <c r="AL27" s="337">
        <f t="shared" si="14"/>
        <v>0.75</v>
      </c>
      <c r="AM27" s="336"/>
      <c r="AN27" s="336"/>
      <c r="AO27" s="340"/>
      <c r="AP27" s="345">
        <f>ROUND(AVERAGE(5-4*(AO27)/(AO9)),1)</f>
        <v>5</v>
      </c>
      <c r="AQ27" s="346">
        <f t="shared" si="16"/>
        <v>0.75</v>
      </c>
      <c r="AR27" s="336"/>
      <c r="AS27" s="336"/>
      <c r="AT27" s="331"/>
      <c r="AU27" s="345">
        <f>ROUND(AVERAGE(5-4*(AT27)/(AT9)),1)</f>
        <v>5</v>
      </c>
      <c r="AV27" s="346">
        <f t="shared" si="28"/>
        <v>0.75</v>
      </c>
      <c r="AW27" s="336"/>
      <c r="AX27" s="336"/>
      <c r="AY27" s="336"/>
      <c r="AZ27" s="336"/>
      <c r="BA27" s="345">
        <f>ROUND(AVERAGE(5-4*(AZ27)/(AZ9)), 1)</f>
        <v>5</v>
      </c>
      <c r="BB27" s="346">
        <f t="shared" si="20"/>
        <v>0.75</v>
      </c>
      <c r="BC27" s="336">
        <v>3</v>
      </c>
      <c r="BD27" s="345">
        <f>5-(4*BC27/BC9)</f>
        <v>4.5555555555555554</v>
      </c>
      <c r="BE27" s="344">
        <f t="shared" si="21"/>
        <v>0.45555555555555555</v>
      </c>
      <c r="BF27" s="336"/>
      <c r="BG27" s="345">
        <f>ROUND(AVERAGE(5-4*(BF27)/(BF9)),1)</f>
        <v>5</v>
      </c>
      <c r="BH27" s="346">
        <f t="shared" si="22"/>
        <v>1.5</v>
      </c>
      <c r="BI27" s="348">
        <f t="shared" si="23"/>
        <v>2.7088888888888887</v>
      </c>
      <c r="BJ27" s="348" t="s">
        <v>93</v>
      </c>
      <c r="BK27" s="348" t="s">
        <v>95</v>
      </c>
      <c r="BL27" s="350">
        <v>46001</v>
      </c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</row>
    <row r="28" spans="1:81" s="20" customFormat="1" ht="15" customHeight="1" x14ac:dyDescent="0.3">
      <c r="A28" s="322">
        <v>17</v>
      </c>
      <c r="B28" s="63" t="s">
        <v>460</v>
      </c>
      <c r="C28" s="64" t="s">
        <v>437</v>
      </c>
      <c r="D28" s="77">
        <v>24</v>
      </c>
      <c r="E28" s="79">
        <v>21</v>
      </c>
      <c r="F28" s="96">
        <f t="shared" si="1"/>
        <v>45</v>
      </c>
      <c r="G28" s="106">
        <f>ROUND(AVERAGE(5-4*(F28)/(F9)),1)</f>
        <v>3.2</v>
      </c>
      <c r="H28" s="108">
        <f t="shared" si="29"/>
        <v>0.48</v>
      </c>
      <c r="I28" s="78">
        <v>30</v>
      </c>
      <c r="J28" s="305">
        <f t="shared" si="30"/>
        <v>1</v>
      </c>
      <c r="K28" s="78">
        <v>35</v>
      </c>
      <c r="L28" s="78">
        <v>38</v>
      </c>
      <c r="M28" s="81">
        <f t="shared" si="4"/>
        <v>73</v>
      </c>
      <c r="N28" s="106">
        <f>ROUND(AVERAGE(5-4*(M28)/(M9)),1)</f>
        <v>2.1</v>
      </c>
      <c r="O28" s="108">
        <f t="shared" si="5"/>
        <v>0.315</v>
      </c>
      <c r="P28" s="306" t="e">
        <f>ROUND(5-4*#REF!/10,1)</f>
        <v>#REF!</v>
      </c>
      <c r="Q28" s="307"/>
      <c r="R28" s="86">
        <v>30</v>
      </c>
      <c r="S28" s="83">
        <v>35</v>
      </c>
      <c r="T28" s="93">
        <f t="shared" si="6"/>
        <v>65</v>
      </c>
      <c r="U28" s="106">
        <f>ROUND(AVERAGE(5-4*(T28)/(T9)),1)</f>
        <v>2.4</v>
      </c>
      <c r="V28" s="108">
        <f t="shared" si="7"/>
        <v>0.36</v>
      </c>
      <c r="W28" s="83">
        <v>88</v>
      </c>
      <c r="X28" s="95">
        <v>90</v>
      </c>
      <c r="Y28" s="96">
        <f t="shared" si="8"/>
        <v>178</v>
      </c>
      <c r="Z28" s="106">
        <f>ROUND(AVERAGE(5-4*(Y28)/(Y9)),1)</f>
        <v>1.4</v>
      </c>
      <c r="AA28" s="105">
        <f t="shared" si="9"/>
        <v>0.21</v>
      </c>
      <c r="AB28" s="101">
        <v>27</v>
      </c>
      <c r="AC28" s="106">
        <f t="shared" si="10"/>
        <v>1</v>
      </c>
      <c r="AD28" s="105">
        <f t="shared" si="11"/>
        <v>0.1</v>
      </c>
      <c r="AE28" s="83">
        <v>53</v>
      </c>
      <c r="AF28" s="211">
        <f t="shared" si="27"/>
        <v>2.9</v>
      </c>
      <c r="AG28" s="108">
        <f t="shared" si="12"/>
        <v>0.87</v>
      </c>
      <c r="AH28" s="81">
        <v>18</v>
      </c>
      <c r="AI28" s="81">
        <v>36</v>
      </c>
      <c r="AJ28" s="96">
        <f t="shared" si="13"/>
        <v>54</v>
      </c>
      <c r="AK28" s="106">
        <f>ROUND(AVERAGE(5-4*(AJ28)/(AJ9)),1)</f>
        <v>2.8</v>
      </c>
      <c r="AL28" s="108">
        <f t="shared" si="14"/>
        <v>0.42</v>
      </c>
      <c r="AM28" s="81">
        <v>35</v>
      </c>
      <c r="AN28" s="81">
        <v>38</v>
      </c>
      <c r="AO28" s="96">
        <f t="shared" si="26"/>
        <v>73</v>
      </c>
      <c r="AP28" s="148">
        <f>ROUND(AVERAGE(5-4*(AO28)/(AO9)),1)</f>
        <v>2.1</v>
      </c>
      <c r="AQ28" s="149">
        <f t="shared" si="16"/>
        <v>0.315</v>
      </c>
      <c r="AR28" s="81">
        <v>38</v>
      </c>
      <c r="AS28" s="81">
        <v>41</v>
      </c>
      <c r="AT28" s="93">
        <f t="shared" si="17"/>
        <v>79</v>
      </c>
      <c r="AU28" s="148">
        <f>ROUND(AVERAGE(5-4*(AT28)/(AT9)),1)</f>
        <v>1.8</v>
      </c>
      <c r="AV28" s="214">
        <f t="shared" si="28"/>
        <v>0.27</v>
      </c>
      <c r="AW28" s="81">
        <v>87</v>
      </c>
      <c r="AX28" s="81">
        <v>89</v>
      </c>
      <c r="AY28" s="81">
        <v>100</v>
      </c>
      <c r="AZ28" s="81">
        <f t="shared" si="19"/>
        <v>276</v>
      </c>
      <c r="BA28" s="148">
        <f>ROUND(AVERAGE(5-4*(AZ28)/(AZ9)), 1)</f>
        <v>1.3</v>
      </c>
      <c r="BB28" s="149">
        <f t="shared" si="20"/>
        <v>0.19500000000000001</v>
      </c>
      <c r="BC28" s="81">
        <v>27</v>
      </c>
      <c r="BD28" s="148">
        <f>5-(4*BC28/BC9)</f>
        <v>1</v>
      </c>
      <c r="BE28" s="158">
        <f t="shared" si="21"/>
        <v>0.1</v>
      </c>
      <c r="BF28" s="81">
        <v>31</v>
      </c>
      <c r="BG28" s="148">
        <f>ROUND(AVERAGE(5-4*(BF28)/(BF9)),1)</f>
        <v>3.2</v>
      </c>
      <c r="BH28" s="149">
        <f t="shared" si="22"/>
        <v>0.96</v>
      </c>
      <c r="BI28" s="165">
        <f t="shared" si="23"/>
        <v>2.335</v>
      </c>
      <c r="BJ28" s="165">
        <f t="shared" si="24"/>
        <v>2.2599999999999998</v>
      </c>
      <c r="BK28" s="165">
        <f t="shared" si="0"/>
        <v>2.2974999999999999</v>
      </c>
      <c r="BL28" s="81" t="s">
        <v>91</v>
      </c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</row>
    <row r="29" spans="1:81" s="20" customFormat="1" ht="15.75" customHeight="1" x14ac:dyDescent="0.3">
      <c r="A29" s="323">
        <v>18</v>
      </c>
      <c r="B29" s="63" t="s">
        <v>461</v>
      </c>
      <c r="C29" s="64" t="s">
        <v>502</v>
      </c>
      <c r="D29" s="77">
        <v>22</v>
      </c>
      <c r="E29" s="79">
        <v>27</v>
      </c>
      <c r="F29" s="96">
        <f t="shared" si="1"/>
        <v>49</v>
      </c>
      <c r="G29" s="106">
        <f>ROUND(AVERAGE(5-4*(F29)/(F9)),1)</f>
        <v>3</v>
      </c>
      <c r="H29" s="108">
        <f t="shared" si="29"/>
        <v>0.44999999999999996</v>
      </c>
      <c r="I29" s="78">
        <v>25</v>
      </c>
      <c r="J29" s="305">
        <f t="shared" si="30"/>
        <v>1.7</v>
      </c>
      <c r="K29" s="78">
        <v>34</v>
      </c>
      <c r="L29" s="78">
        <v>35</v>
      </c>
      <c r="M29" s="81">
        <f t="shared" si="4"/>
        <v>69</v>
      </c>
      <c r="N29" s="106">
        <f>ROUND(AVERAGE(5-4*(M29)/(M9)),1)</f>
        <v>2.2000000000000002</v>
      </c>
      <c r="O29" s="108">
        <f t="shared" si="5"/>
        <v>0.33</v>
      </c>
      <c r="P29" s="306" t="e">
        <f>ROUND(5-4*#REF!/10,1)</f>
        <v>#REF!</v>
      </c>
      <c r="Q29" s="307"/>
      <c r="R29" s="86">
        <v>32</v>
      </c>
      <c r="S29" s="86">
        <v>30</v>
      </c>
      <c r="T29" s="93">
        <f t="shared" si="6"/>
        <v>62</v>
      </c>
      <c r="U29" s="106">
        <f>ROUND(AVERAGE(5-4*(T29)/(T9)),1)</f>
        <v>2.5</v>
      </c>
      <c r="V29" s="108">
        <f t="shared" si="7"/>
        <v>0.375</v>
      </c>
      <c r="W29" s="86">
        <v>87</v>
      </c>
      <c r="X29" s="95">
        <v>90</v>
      </c>
      <c r="Y29" s="96">
        <f t="shared" si="8"/>
        <v>177</v>
      </c>
      <c r="Z29" s="106">
        <f>ROUND(AVERAGE(5-4*(Y29)/(Y9)),1)</f>
        <v>1.5</v>
      </c>
      <c r="AA29" s="105">
        <f t="shared" si="9"/>
        <v>0.22499999999999998</v>
      </c>
      <c r="AB29" s="101">
        <v>27</v>
      </c>
      <c r="AC29" s="106">
        <f t="shared" si="10"/>
        <v>1</v>
      </c>
      <c r="AD29" s="105">
        <f t="shared" si="11"/>
        <v>0.1</v>
      </c>
      <c r="AE29" s="86">
        <v>43</v>
      </c>
      <c r="AF29" s="211">
        <f t="shared" si="27"/>
        <v>3.3</v>
      </c>
      <c r="AG29" s="108">
        <f t="shared" si="12"/>
        <v>0.98999999999999988</v>
      </c>
      <c r="AH29" s="81">
        <v>22</v>
      </c>
      <c r="AI29" s="81">
        <v>41</v>
      </c>
      <c r="AJ29" s="96">
        <f t="shared" si="13"/>
        <v>63</v>
      </c>
      <c r="AK29" s="106">
        <f>ROUND(AVERAGE(5-4*(AJ29)/(AJ9)),1)</f>
        <v>2.5</v>
      </c>
      <c r="AL29" s="108">
        <f t="shared" si="14"/>
        <v>0.375</v>
      </c>
      <c r="AM29" s="81">
        <v>37</v>
      </c>
      <c r="AN29" s="81">
        <v>40</v>
      </c>
      <c r="AO29" s="96">
        <f t="shared" si="26"/>
        <v>77</v>
      </c>
      <c r="AP29" s="148">
        <f>ROUND(AVERAGE(5-4*(AO29)/(AO9)),1)</f>
        <v>1.9</v>
      </c>
      <c r="AQ29" s="149">
        <f t="shared" si="16"/>
        <v>0.28499999999999998</v>
      </c>
      <c r="AR29" s="81">
        <v>38</v>
      </c>
      <c r="AS29" s="81">
        <v>40</v>
      </c>
      <c r="AT29" s="93">
        <f t="shared" si="17"/>
        <v>78</v>
      </c>
      <c r="AU29" s="148">
        <f>ROUND(AVERAGE(5-4*(AT29)/(AT9)),1)</f>
        <v>1.9</v>
      </c>
      <c r="AV29" s="214">
        <f t="shared" si="28"/>
        <v>0.28499999999999998</v>
      </c>
      <c r="AW29" s="81">
        <v>90</v>
      </c>
      <c r="AX29" s="81">
        <v>94</v>
      </c>
      <c r="AY29" s="81">
        <v>100</v>
      </c>
      <c r="AZ29" s="81">
        <f t="shared" si="19"/>
        <v>284</v>
      </c>
      <c r="BA29" s="148">
        <f>ROUND(AVERAGE(5-4*(AZ29)/(AZ9)), 1)</f>
        <v>1.2</v>
      </c>
      <c r="BB29" s="149">
        <f t="shared" si="20"/>
        <v>0.18</v>
      </c>
      <c r="BC29" s="81">
        <v>27</v>
      </c>
      <c r="BD29" s="148">
        <f>5-(4*BC29/BC9)</f>
        <v>1</v>
      </c>
      <c r="BE29" s="158">
        <f t="shared" si="21"/>
        <v>0.1</v>
      </c>
      <c r="BF29" s="81">
        <v>43</v>
      </c>
      <c r="BG29" s="148">
        <f>ROUND(AVERAGE(5-4*(BF29)/(BF9)),1)</f>
        <v>2.5</v>
      </c>
      <c r="BH29" s="149">
        <f t="shared" si="22"/>
        <v>0.75</v>
      </c>
      <c r="BI29" s="165">
        <f t="shared" si="23"/>
        <v>2.4699999999999998</v>
      </c>
      <c r="BJ29" s="165">
        <f t="shared" si="24"/>
        <v>1.9749999999999999</v>
      </c>
      <c r="BK29" s="165">
        <f t="shared" si="0"/>
        <v>2.2224999999999997</v>
      </c>
      <c r="BL29" s="81" t="s">
        <v>91</v>
      </c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</row>
    <row r="30" spans="1:81" s="20" customFormat="1" ht="15" customHeight="1" x14ac:dyDescent="0.3">
      <c r="A30" s="322">
        <v>19</v>
      </c>
      <c r="B30" s="63" t="s">
        <v>462</v>
      </c>
      <c r="C30" s="65" t="s">
        <v>501</v>
      </c>
      <c r="D30" s="77">
        <v>21</v>
      </c>
      <c r="E30" s="79">
        <v>20</v>
      </c>
      <c r="F30" s="96">
        <f t="shared" si="1"/>
        <v>41</v>
      </c>
      <c r="G30" s="106">
        <f>ROUND(AVERAGE(5-4*(F30)/(F9)),1)</f>
        <v>3.4</v>
      </c>
      <c r="H30" s="108">
        <f t="shared" si="29"/>
        <v>0.51</v>
      </c>
      <c r="I30" s="78">
        <v>30</v>
      </c>
      <c r="J30" s="305">
        <f t="shared" si="30"/>
        <v>1</v>
      </c>
      <c r="K30" s="78">
        <v>35</v>
      </c>
      <c r="L30" s="78">
        <v>38</v>
      </c>
      <c r="M30" s="81">
        <f t="shared" si="4"/>
        <v>73</v>
      </c>
      <c r="N30" s="106">
        <f>ROUND(AVERAGE(5-4*(M30)/(M9)),1)</f>
        <v>2.1</v>
      </c>
      <c r="O30" s="108">
        <f t="shared" si="5"/>
        <v>0.315</v>
      </c>
      <c r="P30" s="306" t="e">
        <f>ROUND(5-4*#REF!/10,1)</f>
        <v>#REF!</v>
      </c>
      <c r="Q30" s="307"/>
      <c r="R30" s="86">
        <v>32</v>
      </c>
      <c r="S30" s="86">
        <v>30</v>
      </c>
      <c r="T30" s="93">
        <f t="shared" si="6"/>
        <v>62</v>
      </c>
      <c r="U30" s="106">
        <f>ROUND(AVERAGE(5-4*(T30)/(T9)),1)</f>
        <v>2.5</v>
      </c>
      <c r="V30" s="108">
        <f t="shared" si="7"/>
        <v>0.375</v>
      </c>
      <c r="W30" s="86">
        <v>87</v>
      </c>
      <c r="X30" s="95">
        <v>88</v>
      </c>
      <c r="Y30" s="96">
        <f t="shared" si="8"/>
        <v>175</v>
      </c>
      <c r="Z30" s="106">
        <f>ROUND(AVERAGE(5-4*(Y30)/(Y9)),1)</f>
        <v>1.5</v>
      </c>
      <c r="AA30" s="105">
        <f t="shared" si="9"/>
        <v>0.22499999999999998</v>
      </c>
      <c r="AB30" s="101">
        <v>27</v>
      </c>
      <c r="AC30" s="106">
        <f t="shared" si="10"/>
        <v>1</v>
      </c>
      <c r="AD30" s="105">
        <f t="shared" si="11"/>
        <v>0.1</v>
      </c>
      <c r="AE30" s="86">
        <v>42</v>
      </c>
      <c r="AF30" s="211">
        <f t="shared" si="27"/>
        <v>3.3</v>
      </c>
      <c r="AG30" s="108">
        <f t="shared" si="12"/>
        <v>0.98999999999999988</v>
      </c>
      <c r="AH30" s="81">
        <v>22</v>
      </c>
      <c r="AI30" s="81">
        <v>43</v>
      </c>
      <c r="AJ30" s="96">
        <f t="shared" si="13"/>
        <v>65</v>
      </c>
      <c r="AK30" s="106">
        <f>ROUND(AVERAGE(5-4*(AJ30)/(AJ9)),1)</f>
        <v>2.4</v>
      </c>
      <c r="AL30" s="108">
        <f t="shared" si="14"/>
        <v>0.36</v>
      </c>
      <c r="AM30" s="81">
        <v>40</v>
      </c>
      <c r="AN30" s="81">
        <v>41</v>
      </c>
      <c r="AO30" s="96">
        <f t="shared" si="26"/>
        <v>81</v>
      </c>
      <c r="AP30" s="148">
        <f>ROUND(AVERAGE(5-4*(AO30)/(AO9)),1)</f>
        <v>1.8</v>
      </c>
      <c r="AQ30" s="149">
        <f t="shared" si="16"/>
        <v>0.27</v>
      </c>
      <c r="AR30" s="81">
        <v>38</v>
      </c>
      <c r="AS30" s="81">
        <v>41</v>
      </c>
      <c r="AT30" s="93">
        <f t="shared" si="17"/>
        <v>79</v>
      </c>
      <c r="AU30" s="148">
        <f>ROUND(AVERAGE(5-4*(AT30)/(AT9)),1)</f>
        <v>1.8</v>
      </c>
      <c r="AV30" s="214">
        <f t="shared" si="28"/>
        <v>0.27</v>
      </c>
      <c r="AW30" s="81">
        <v>85</v>
      </c>
      <c r="AX30" s="81">
        <v>85</v>
      </c>
      <c r="AY30" s="81">
        <v>100</v>
      </c>
      <c r="AZ30" s="81">
        <v>270</v>
      </c>
      <c r="BA30" s="148">
        <f>ROUND(AVERAGE(5-4*(AZ30)/(AZ9)), 1)</f>
        <v>1.4</v>
      </c>
      <c r="BB30" s="149">
        <f>BA30*0.15</f>
        <v>0.21</v>
      </c>
      <c r="BC30" s="81">
        <v>27</v>
      </c>
      <c r="BD30" s="148">
        <f>5-(4*BC30/BC9)</f>
        <v>1</v>
      </c>
      <c r="BE30" s="158">
        <f t="shared" si="21"/>
        <v>0.1</v>
      </c>
      <c r="BF30" s="81">
        <v>54</v>
      </c>
      <c r="BG30" s="148">
        <f>ROUND(AVERAGE(5-4*(BF30)/(BF9)),1)</f>
        <v>1.9</v>
      </c>
      <c r="BH30" s="149">
        <f t="shared" si="22"/>
        <v>0.56999999999999995</v>
      </c>
      <c r="BI30" s="165">
        <f t="shared" si="23"/>
        <v>2.5149999999999997</v>
      </c>
      <c r="BJ30" s="165">
        <f t="shared" si="24"/>
        <v>1.7800000000000002</v>
      </c>
      <c r="BK30" s="165">
        <f t="shared" si="0"/>
        <v>2.1475</v>
      </c>
      <c r="BL30" s="81" t="s">
        <v>91</v>
      </c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</row>
    <row r="31" spans="1:81" s="20" customFormat="1" ht="15" customHeight="1" x14ac:dyDescent="0.3">
      <c r="A31" s="322">
        <v>20</v>
      </c>
      <c r="B31" s="63" t="s">
        <v>463</v>
      </c>
      <c r="C31" s="65" t="s">
        <v>438</v>
      </c>
      <c r="D31" s="77">
        <v>23</v>
      </c>
      <c r="E31" s="79">
        <v>18</v>
      </c>
      <c r="F31" s="96">
        <f t="shared" si="1"/>
        <v>41</v>
      </c>
      <c r="G31" s="106">
        <f>ROUND(AVERAGE(5-4*(F31)/(F9)),1)</f>
        <v>3.4</v>
      </c>
      <c r="H31" s="108">
        <f t="shared" si="29"/>
        <v>0.51</v>
      </c>
      <c r="I31" s="78">
        <v>26</v>
      </c>
      <c r="J31" s="305">
        <f t="shared" si="30"/>
        <v>1.5</v>
      </c>
      <c r="K31" s="78">
        <v>35</v>
      </c>
      <c r="L31" s="78">
        <v>38</v>
      </c>
      <c r="M31" s="81">
        <f t="shared" si="4"/>
        <v>73</v>
      </c>
      <c r="N31" s="106">
        <f>ROUND(AVERAGE(5-4*(M31)/(M9)),1)</f>
        <v>2.1</v>
      </c>
      <c r="O31" s="108">
        <f t="shared" si="5"/>
        <v>0.315</v>
      </c>
      <c r="P31" s="306" t="e">
        <f>ROUND(5-4*#REF!/10,1)</f>
        <v>#REF!</v>
      </c>
      <c r="Q31" s="307"/>
      <c r="R31" s="86">
        <v>30</v>
      </c>
      <c r="S31" s="86">
        <v>35</v>
      </c>
      <c r="T31" s="93">
        <f t="shared" si="6"/>
        <v>65</v>
      </c>
      <c r="U31" s="106">
        <f>ROUND(AVERAGE(5-4*(T31)/(T9)),1)</f>
        <v>2.4</v>
      </c>
      <c r="V31" s="108">
        <f t="shared" si="7"/>
        <v>0.36</v>
      </c>
      <c r="W31" s="86">
        <v>85</v>
      </c>
      <c r="X31" s="95">
        <v>90</v>
      </c>
      <c r="Y31" s="96">
        <f t="shared" si="8"/>
        <v>175</v>
      </c>
      <c r="Z31" s="106">
        <f>ROUND(AVERAGE(5-4*(Y31)/(Y9)),1)</f>
        <v>1.5</v>
      </c>
      <c r="AA31" s="105">
        <f t="shared" si="9"/>
        <v>0.22499999999999998</v>
      </c>
      <c r="AB31" s="101">
        <v>27</v>
      </c>
      <c r="AC31" s="106">
        <f t="shared" si="10"/>
        <v>1</v>
      </c>
      <c r="AD31" s="105">
        <f>AC31*0.1</f>
        <v>0.1</v>
      </c>
      <c r="AE31" s="86">
        <v>30</v>
      </c>
      <c r="AF31" s="211">
        <f t="shared" si="27"/>
        <v>3.8</v>
      </c>
      <c r="AG31" s="108">
        <f t="shared" si="12"/>
        <v>1.1399999999999999</v>
      </c>
      <c r="AH31" s="81">
        <v>23</v>
      </c>
      <c r="AI31" s="81">
        <v>37</v>
      </c>
      <c r="AJ31" s="96">
        <f t="shared" si="13"/>
        <v>60</v>
      </c>
      <c r="AK31" s="106">
        <f>ROUND(AVERAGE(5-4*(AJ31)/(AJ9)),1)</f>
        <v>2.6</v>
      </c>
      <c r="AL31" s="108">
        <f t="shared" si="14"/>
        <v>0.39</v>
      </c>
      <c r="AM31" s="81">
        <v>38</v>
      </c>
      <c r="AN31" s="81">
        <v>38</v>
      </c>
      <c r="AO31" s="96">
        <f t="shared" si="26"/>
        <v>76</v>
      </c>
      <c r="AP31" s="148">
        <f>ROUND(AVERAGE(5-4*(AO31)/(AO9)),1)</f>
        <v>2</v>
      </c>
      <c r="AQ31" s="149">
        <f t="shared" si="16"/>
        <v>0.3</v>
      </c>
      <c r="AR31" s="81">
        <v>40</v>
      </c>
      <c r="AS31" s="81">
        <v>40</v>
      </c>
      <c r="AT31" s="93">
        <f t="shared" si="17"/>
        <v>80</v>
      </c>
      <c r="AU31" s="148">
        <f>ROUND(AVERAGE(5-4*(AT31)/(AT9)),1)</f>
        <v>1.8</v>
      </c>
      <c r="AV31" s="214">
        <f t="shared" si="28"/>
        <v>0.27</v>
      </c>
      <c r="AW31" s="81">
        <v>85</v>
      </c>
      <c r="AX31" s="81">
        <v>89</v>
      </c>
      <c r="AY31" s="81">
        <v>100</v>
      </c>
      <c r="AZ31" s="81">
        <f t="shared" si="19"/>
        <v>274</v>
      </c>
      <c r="BA31" s="148">
        <f>ROUND(AVERAGE(5-4*(AZ31)/(AZ9)), 1)</f>
        <v>1.3</v>
      </c>
      <c r="BB31" s="149">
        <f t="shared" si="20"/>
        <v>0.19500000000000001</v>
      </c>
      <c r="BC31" s="81">
        <v>27</v>
      </c>
      <c r="BD31" s="148">
        <f>5-(4*BC31/BC9)</f>
        <v>1</v>
      </c>
      <c r="BE31" s="158">
        <f t="shared" si="21"/>
        <v>0.1</v>
      </c>
      <c r="BF31" s="81">
        <v>44</v>
      </c>
      <c r="BG31" s="148">
        <f>ROUND(AVERAGE(5-4*(BF31)/(BF9)),1)</f>
        <v>2.5</v>
      </c>
      <c r="BH31" s="149">
        <f t="shared" si="22"/>
        <v>0.75</v>
      </c>
      <c r="BI31" s="165">
        <f t="shared" si="23"/>
        <v>2.6500000000000004</v>
      </c>
      <c r="BJ31" s="165">
        <f t="shared" si="24"/>
        <v>2.0049999999999999</v>
      </c>
      <c r="BK31" s="165">
        <f t="shared" si="0"/>
        <v>2.3275000000000001</v>
      </c>
      <c r="BL31" s="81" t="s">
        <v>91</v>
      </c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</row>
    <row r="32" spans="1:81" s="20" customFormat="1" ht="15" customHeight="1" x14ac:dyDescent="0.3">
      <c r="A32" s="322">
        <v>21</v>
      </c>
      <c r="B32" s="63" t="s">
        <v>463</v>
      </c>
      <c r="C32" s="65" t="s">
        <v>500</v>
      </c>
      <c r="D32" s="77">
        <v>33</v>
      </c>
      <c r="E32" s="79">
        <v>28</v>
      </c>
      <c r="F32" s="96">
        <f t="shared" si="1"/>
        <v>61</v>
      </c>
      <c r="G32" s="106">
        <f>ROUND(AVERAGE(5-4*(F32)/(F9)),1)</f>
        <v>2.6</v>
      </c>
      <c r="H32" s="108">
        <f t="shared" si="29"/>
        <v>0.39</v>
      </c>
      <c r="I32" s="78">
        <v>25</v>
      </c>
      <c r="J32" s="305">
        <f t="shared" si="30"/>
        <v>1.7</v>
      </c>
      <c r="K32" s="78">
        <v>30</v>
      </c>
      <c r="L32" s="78">
        <v>32</v>
      </c>
      <c r="M32" s="81">
        <f t="shared" si="4"/>
        <v>62</v>
      </c>
      <c r="N32" s="106">
        <f>ROUND(AVERAGE(5-4*(M32)/(M9)),1)</f>
        <v>2.5</v>
      </c>
      <c r="O32" s="108">
        <f t="shared" si="5"/>
        <v>0.375</v>
      </c>
      <c r="P32" s="306" t="e">
        <f>ROUND(5-4*#REF!/10,1)</f>
        <v>#REF!</v>
      </c>
      <c r="Q32" s="307"/>
      <c r="R32" s="86">
        <v>34</v>
      </c>
      <c r="S32" s="86">
        <v>30</v>
      </c>
      <c r="T32" s="93">
        <f t="shared" si="6"/>
        <v>64</v>
      </c>
      <c r="U32" s="106">
        <f>ROUND(AVERAGE(5-4*(T32)/(T9)),1)</f>
        <v>2.4</v>
      </c>
      <c r="V32" s="108">
        <f t="shared" si="7"/>
        <v>0.36</v>
      </c>
      <c r="W32" s="86">
        <v>90</v>
      </c>
      <c r="X32" s="95">
        <v>95</v>
      </c>
      <c r="Y32" s="96">
        <f t="shared" si="8"/>
        <v>185</v>
      </c>
      <c r="Z32" s="106">
        <f>ROUND(AVERAGE(5-4*(Y32)/(Y9)),1)</f>
        <v>1.3</v>
      </c>
      <c r="AA32" s="105">
        <f t="shared" si="9"/>
        <v>0.19500000000000001</v>
      </c>
      <c r="AB32" s="101">
        <v>27</v>
      </c>
      <c r="AC32" s="106">
        <f t="shared" si="10"/>
        <v>1</v>
      </c>
      <c r="AD32" s="105">
        <f t="shared" si="11"/>
        <v>0.1</v>
      </c>
      <c r="AE32" s="86">
        <v>54</v>
      </c>
      <c r="AF32" s="211">
        <f t="shared" si="27"/>
        <v>2.8</v>
      </c>
      <c r="AG32" s="108">
        <f t="shared" si="12"/>
        <v>0.84</v>
      </c>
      <c r="AH32" s="81">
        <v>23</v>
      </c>
      <c r="AI32" s="81">
        <v>44</v>
      </c>
      <c r="AJ32" s="96">
        <f t="shared" si="13"/>
        <v>67</v>
      </c>
      <c r="AK32" s="106">
        <f>ROUND(AVERAGE(5-4*(AJ32)/(AJ9)),1)</f>
        <v>2.2999999999999998</v>
      </c>
      <c r="AL32" s="108">
        <f t="shared" si="14"/>
        <v>0.34499999999999997</v>
      </c>
      <c r="AM32" s="81">
        <v>38</v>
      </c>
      <c r="AN32" s="81">
        <v>40</v>
      </c>
      <c r="AO32" s="96">
        <f t="shared" si="26"/>
        <v>78</v>
      </c>
      <c r="AP32" s="148">
        <f>ROUND(AVERAGE(5-4*(AO32)/(AO9)),1)</f>
        <v>1.9</v>
      </c>
      <c r="AQ32" s="149">
        <f t="shared" si="16"/>
        <v>0.28499999999999998</v>
      </c>
      <c r="AR32" s="81">
        <v>41</v>
      </c>
      <c r="AS32" s="81">
        <v>44</v>
      </c>
      <c r="AT32" s="93">
        <f t="shared" si="17"/>
        <v>85</v>
      </c>
      <c r="AU32" s="148">
        <f>ROUND(AVERAGE(5-4*(AT32)/(AT9)),1)</f>
        <v>1.6</v>
      </c>
      <c r="AV32" s="214">
        <f t="shared" si="28"/>
        <v>0.24</v>
      </c>
      <c r="AW32" s="81">
        <v>95</v>
      </c>
      <c r="AX32" s="81">
        <v>95</v>
      </c>
      <c r="AY32" s="81">
        <v>100</v>
      </c>
      <c r="AZ32" s="81">
        <f t="shared" si="19"/>
        <v>290</v>
      </c>
      <c r="BA32" s="148">
        <f>ROUND(AVERAGE(5-4*(AZ32)/(AZ9)), 1)</f>
        <v>1.1000000000000001</v>
      </c>
      <c r="BB32" s="149">
        <f t="shared" si="20"/>
        <v>0.16500000000000001</v>
      </c>
      <c r="BC32" s="81">
        <v>27</v>
      </c>
      <c r="BD32" s="148">
        <f>5-(4*BC32/BC9)</f>
        <v>1</v>
      </c>
      <c r="BE32" s="158">
        <f t="shared" si="21"/>
        <v>0.1</v>
      </c>
      <c r="BF32" s="81">
        <v>47</v>
      </c>
      <c r="BG32" s="148">
        <f>ROUND(AVERAGE(5-4*(BF32)/(BF9)),1)</f>
        <v>2.2999999999999998</v>
      </c>
      <c r="BH32" s="149">
        <f t="shared" si="22"/>
        <v>0.69</v>
      </c>
      <c r="BI32" s="165">
        <f t="shared" si="23"/>
        <v>2.2600000000000002</v>
      </c>
      <c r="BJ32" s="165">
        <f t="shared" si="24"/>
        <v>1.825</v>
      </c>
      <c r="BK32" s="165">
        <f t="shared" si="0"/>
        <v>2.0425</v>
      </c>
      <c r="BL32" s="81" t="s">
        <v>91</v>
      </c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</row>
    <row r="33" spans="1:81" s="20" customFormat="1" ht="15" customHeight="1" x14ac:dyDescent="0.3">
      <c r="A33" s="322">
        <v>22</v>
      </c>
      <c r="B33" s="63" t="s">
        <v>464</v>
      </c>
      <c r="C33" s="65" t="s">
        <v>499</v>
      </c>
      <c r="D33" s="77">
        <v>23</v>
      </c>
      <c r="E33" s="79">
        <v>28</v>
      </c>
      <c r="F33" s="96">
        <f t="shared" si="1"/>
        <v>51</v>
      </c>
      <c r="G33" s="106">
        <f>ROUND(AVERAGE(5-4*(F33)/(F9)),1)</f>
        <v>3</v>
      </c>
      <c r="H33" s="108">
        <f t="shared" si="29"/>
        <v>0.44999999999999996</v>
      </c>
      <c r="I33" s="78">
        <v>26</v>
      </c>
      <c r="J33" s="305">
        <f t="shared" si="30"/>
        <v>1.5</v>
      </c>
      <c r="K33" s="78">
        <v>38</v>
      </c>
      <c r="L33" s="78">
        <v>38</v>
      </c>
      <c r="M33" s="81">
        <f t="shared" si="4"/>
        <v>76</v>
      </c>
      <c r="N33" s="106">
        <f>ROUND(AVERAGE(5-4*(M33)/(M9)),1)</f>
        <v>2</v>
      </c>
      <c r="O33" s="108">
        <f t="shared" si="5"/>
        <v>0.3</v>
      </c>
      <c r="P33" s="306" t="e">
        <f>ROUND(5-4*#REF!/10,1)</f>
        <v>#REF!</v>
      </c>
      <c r="Q33" s="307"/>
      <c r="R33" s="86">
        <v>30</v>
      </c>
      <c r="S33" s="86">
        <v>38</v>
      </c>
      <c r="T33" s="93">
        <f t="shared" si="6"/>
        <v>68</v>
      </c>
      <c r="U33" s="106">
        <f>ROUND(AVERAGE(5-4*(T33)/(T9)),1)</f>
        <v>2.2999999999999998</v>
      </c>
      <c r="V33" s="108">
        <f t="shared" si="7"/>
        <v>0.34499999999999997</v>
      </c>
      <c r="W33" s="86">
        <v>70</v>
      </c>
      <c r="X33" s="95">
        <v>80</v>
      </c>
      <c r="Y33" s="96">
        <f t="shared" si="8"/>
        <v>150</v>
      </c>
      <c r="Z33" s="106">
        <f>ROUND(AVERAGE(5-4*(Y33)/(Y9)),1)</f>
        <v>2</v>
      </c>
      <c r="AA33" s="105">
        <f>Z33*0.15</f>
        <v>0.3</v>
      </c>
      <c r="AB33" s="101">
        <v>25.5</v>
      </c>
      <c r="AC33" s="106">
        <f t="shared" si="10"/>
        <v>1.2222222222222223</v>
      </c>
      <c r="AD33" s="105">
        <f t="shared" si="11"/>
        <v>0.12222222222222223</v>
      </c>
      <c r="AE33" s="86">
        <v>40</v>
      </c>
      <c r="AF33" s="211">
        <f t="shared" si="27"/>
        <v>3.4</v>
      </c>
      <c r="AG33" s="108">
        <f t="shared" si="12"/>
        <v>1.02</v>
      </c>
      <c r="AH33" s="81">
        <v>21</v>
      </c>
      <c r="AI33" s="81">
        <v>46</v>
      </c>
      <c r="AJ33" s="96">
        <f t="shared" si="13"/>
        <v>67</v>
      </c>
      <c r="AK33" s="106">
        <f>ROUND(AVERAGE(5-4*(AJ33)/(AJ9)),1)</f>
        <v>2.2999999999999998</v>
      </c>
      <c r="AL33" s="108">
        <f t="shared" si="14"/>
        <v>0.34499999999999997</v>
      </c>
      <c r="AM33" s="81">
        <v>37</v>
      </c>
      <c r="AN33" s="81">
        <v>40</v>
      </c>
      <c r="AO33" s="96">
        <f t="shared" si="26"/>
        <v>77</v>
      </c>
      <c r="AP33" s="148">
        <f>ROUND(AVERAGE(5-4*(AO33)/(AO9)),1)</f>
        <v>1.9</v>
      </c>
      <c r="AQ33" s="149">
        <f t="shared" si="16"/>
        <v>0.28499999999999998</v>
      </c>
      <c r="AR33" s="81">
        <v>40</v>
      </c>
      <c r="AS33" s="81">
        <v>42</v>
      </c>
      <c r="AT33" s="93">
        <f t="shared" si="17"/>
        <v>82</v>
      </c>
      <c r="AU33" s="148">
        <f>ROUND(AVERAGE(5-4*(AT33)/(AT9)),1)</f>
        <v>1.7</v>
      </c>
      <c r="AV33" s="214">
        <f t="shared" si="28"/>
        <v>0.255</v>
      </c>
      <c r="AW33" s="81">
        <v>88</v>
      </c>
      <c r="AX33" s="81">
        <v>80</v>
      </c>
      <c r="AY33" s="81">
        <v>100</v>
      </c>
      <c r="AZ33" s="81">
        <f t="shared" si="19"/>
        <v>268</v>
      </c>
      <c r="BA33" s="148">
        <f>ROUND(AVERAGE(5-4*(AZ33)/(AZ9)), 1)</f>
        <v>1.4</v>
      </c>
      <c r="BB33" s="149">
        <f t="shared" si="20"/>
        <v>0.21</v>
      </c>
      <c r="BC33" s="81">
        <v>25.5</v>
      </c>
      <c r="BD33" s="148">
        <f>5-(4*BC33/BC9)</f>
        <v>1.2222222222222223</v>
      </c>
      <c r="BE33" s="158">
        <f t="shared" si="21"/>
        <v>0.12222222222222223</v>
      </c>
      <c r="BF33" s="81">
        <v>58</v>
      </c>
      <c r="BG33" s="148">
        <f>ROUND(AVERAGE(5-4*(BF33)/(BF9)),1)</f>
        <v>1.7</v>
      </c>
      <c r="BH33" s="149">
        <f t="shared" si="22"/>
        <v>0.51</v>
      </c>
      <c r="BI33" s="165">
        <f t="shared" si="23"/>
        <v>2.5372222222222223</v>
      </c>
      <c r="BJ33" s="165">
        <f t="shared" si="24"/>
        <v>1.7272222222222222</v>
      </c>
      <c r="BK33" s="165">
        <f t="shared" si="0"/>
        <v>2.1322222222222225</v>
      </c>
      <c r="BL33" s="81" t="s">
        <v>91</v>
      </c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</row>
    <row r="34" spans="1:81" s="20" customFormat="1" ht="15" customHeight="1" x14ac:dyDescent="0.3">
      <c r="A34" s="322">
        <v>23</v>
      </c>
      <c r="B34" s="63" t="s">
        <v>465</v>
      </c>
      <c r="C34" s="65" t="s">
        <v>498</v>
      </c>
      <c r="D34" s="77">
        <v>28</v>
      </c>
      <c r="E34" s="79">
        <v>22</v>
      </c>
      <c r="F34" s="96">
        <f t="shared" si="1"/>
        <v>50</v>
      </c>
      <c r="G34" s="106">
        <f>ROUND(AVERAGE(5-4*(F34)/(F9)),1)</f>
        <v>3</v>
      </c>
      <c r="H34" s="108">
        <f t="shared" si="29"/>
        <v>0.44999999999999996</v>
      </c>
      <c r="I34" s="78">
        <v>30</v>
      </c>
      <c r="J34" s="305">
        <f t="shared" si="30"/>
        <v>1</v>
      </c>
      <c r="K34" s="78">
        <v>38</v>
      </c>
      <c r="L34" s="78">
        <v>30</v>
      </c>
      <c r="M34" s="81">
        <f t="shared" si="4"/>
        <v>68</v>
      </c>
      <c r="N34" s="106">
        <f>ROUND(AVERAGE(5-4*(M34)/(M9)),1)</f>
        <v>2.2999999999999998</v>
      </c>
      <c r="O34" s="108">
        <f t="shared" si="5"/>
        <v>0.34499999999999997</v>
      </c>
      <c r="P34" s="306" t="e">
        <f>ROUND(5-4*#REF!/10,1)</f>
        <v>#REF!</v>
      </c>
      <c r="Q34" s="307"/>
      <c r="R34" s="86">
        <v>30</v>
      </c>
      <c r="S34" s="86">
        <v>30</v>
      </c>
      <c r="T34" s="93">
        <f t="shared" si="6"/>
        <v>60</v>
      </c>
      <c r="U34" s="106">
        <f>ROUND(AVERAGE(5-4*(T34)/(T9)),1)</f>
        <v>2.6</v>
      </c>
      <c r="V34" s="108">
        <f>U34*0.15</f>
        <v>0.39</v>
      </c>
      <c r="W34" s="86">
        <v>70</v>
      </c>
      <c r="X34" s="95">
        <v>80</v>
      </c>
      <c r="Y34" s="96">
        <f t="shared" si="8"/>
        <v>150</v>
      </c>
      <c r="Z34" s="106">
        <f>ROUND(AVERAGE(5-4*(Y34)/(Y9)),1)</f>
        <v>2</v>
      </c>
      <c r="AA34" s="105">
        <f t="shared" si="9"/>
        <v>0.3</v>
      </c>
      <c r="AB34" s="101">
        <v>27</v>
      </c>
      <c r="AC34" s="106">
        <f t="shared" si="10"/>
        <v>1</v>
      </c>
      <c r="AD34" s="105">
        <f t="shared" si="11"/>
        <v>0.1</v>
      </c>
      <c r="AE34" s="86">
        <v>31</v>
      </c>
      <c r="AF34" s="211">
        <f t="shared" si="27"/>
        <v>3.8</v>
      </c>
      <c r="AG34" s="108">
        <f t="shared" si="12"/>
        <v>1.1399999999999999</v>
      </c>
      <c r="AH34" s="81">
        <v>10</v>
      </c>
      <c r="AI34" s="81">
        <v>46</v>
      </c>
      <c r="AJ34" s="96">
        <f t="shared" si="13"/>
        <v>56</v>
      </c>
      <c r="AK34" s="106">
        <f>ROUND(AVERAGE(5-4*(AJ34)/(AJ9)),1)</f>
        <v>2.8</v>
      </c>
      <c r="AL34" s="108">
        <f t="shared" si="14"/>
        <v>0.42</v>
      </c>
      <c r="AM34" s="81">
        <v>40</v>
      </c>
      <c r="AN34" s="81">
        <v>39</v>
      </c>
      <c r="AO34" s="96">
        <f t="shared" si="26"/>
        <v>79</v>
      </c>
      <c r="AP34" s="148">
        <f>ROUND(AVERAGE(5-4*(AO34)/(AO9)),1)</f>
        <v>1.8</v>
      </c>
      <c r="AQ34" s="149">
        <f t="shared" si="16"/>
        <v>0.27</v>
      </c>
      <c r="AR34" s="81">
        <v>40</v>
      </c>
      <c r="AS34" s="81">
        <v>42</v>
      </c>
      <c r="AT34" s="93">
        <f t="shared" si="17"/>
        <v>82</v>
      </c>
      <c r="AU34" s="148">
        <f>ROUND(AVERAGE(5-4*(AT34)/(AT9)),1)</f>
        <v>1.7</v>
      </c>
      <c r="AV34" s="214">
        <f t="shared" si="28"/>
        <v>0.255</v>
      </c>
      <c r="AW34" s="81">
        <v>88</v>
      </c>
      <c r="AX34" s="81">
        <v>90</v>
      </c>
      <c r="AY34" s="81">
        <v>100</v>
      </c>
      <c r="AZ34" s="81">
        <f t="shared" si="19"/>
        <v>278</v>
      </c>
      <c r="BA34" s="148">
        <f>ROUND(AVERAGE(5-4*(AZ34)/(AZ9)), 1)</f>
        <v>1.3</v>
      </c>
      <c r="BB34" s="149">
        <f t="shared" si="20"/>
        <v>0.19500000000000001</v>
      </c>
      <c r="BC34" s="81">
        <v>27</v>
      </c>
      <c r="BD34" s="148">
        <f>5-(4*BC34/BC9)</f>
        <v>1</v>
      </c>
      <c r="BE34" s="158">
        <f t="shared" si="21"/>
        <v>0.1</v>
      </c>
      <c r="BF34" s="81">
        <v>40</v>
      </c>
      <c r="BG34" s="148">
        <f>ROUND(AVERAGE(5-4*(BF34)/(BF9)),1)</f>
        <v>2.7</v>
      </c>
      <c r="BH34" s="149">
        <f t="shared" si="22"/>
        <v>0.81</v>
      </c>
      <c r="BI34" s="165">
        <f t="shared" si="23"/>
        <v>2.7250000000000001</v>
      </c>
      <c r="BJ34" s="165">
        <f t="shared" si="24"/>
        <v>2.0499999999999998</v>
      </c>
      <c r="BK34" s="165">
        <f t="shared" si="0"/>
        <v>2.3875000000000002</v>
      </c>
      <c r="BL34" s="81" t="s">
        <v>91</v>
      </c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</row>
    <row r="35" spans="1:81" s="20" customFormat="1" ht="15" customHeight="1" x14ac:dyDescent="0.3">
      <c r="A35" s="322">
        <v>24</v>
      </c>
      <c r="B35" s="63" t="s">
        <v>466</v>
      </c>
      <c r="C35" s="65" t="s">
        <v>439</v>
      </c>
      <c r="D35" s="77">
        <v>23</v>
      </c>
      <c r="E35" s="86">
        <v>19</v>
      </c>
      <c r="F35" s="96">
        <f t="shared" si="1"/>
        <v>42</v>
      </c>
      <c r="G35" s="106">
        <f>ROUND(AVERAGE(5-4*(F35)/(F9)),1)</f>
        <v>3.3</v>
      </c>
      <c r="H35" s="108">
        <f t="shared" si="29"/>
        <v>0.49499999999999994</v>
      </c>
      <c r="I35" s="78">
        <v>30</v>
      </c>
      <c r="J35" s="305">
        <f t="shared" si="30"/>
        <v>1</v>
      </c>
      <c r="K35" s="78">
        <v>38</v>
      </c>
      <c r="L35" s="78">
        <v>30</v>
      </c>
      <c r="M35" s="81">
        <f t="shared" si="4"/>
        <v>68</v>
      </c>
      <c r="N35" s="106">
        <f>ROUND(AVERAGE(5-4*(M35)/(M9)),1)</f>
        <v>2.2999999999999998</v>
      </c>
      <c r="O35" s="108">
        <f t="shared" si="5"/>
        <v>0.34499999999999997</v>
      </c>
      <c r="P35" s="306" t="e">
        <f>ROUND(5-4*#REF!/10,1)</f>
        <v>#REF!</v>
      </c>
      <c r="Q35" s="307"/>
      <c r="R35" s="86">
        <v>30</v>
      </c>
      <c r="S35" s="86">
        <v>30</v>
      </c>
      <c r="T35" s="93">
        <f t="shared" si="6"/>
        <v>60</v>
      </c>
      <c r="U35" s="106">
        <f>ROUND(AVERAGE(5-4*(T35)/(T9)),1)</f>
        <v>2.6</v>
      </c>
      <c r="V35" s="108">
        <f t="shared" si="7"/>
        <v>0.39</v>
      </c>
      <c r="W35" s="86">
        <v>75</v>
      </c>
      <c r="X35" s="95">
        <v>80</v>
      </c>
      <c r="Y35" s="96">
        <f t="shared" si="8"/>
        <v>155</v>
      </c>
      <c r="Z35" s="106">
        <f>ROUND(AVERAGE(5-4*(Y35)/(Y9)),1)</f>
        <v>1.9</v>
      </c>
      <c r="AA35" s="105">
        <f t="shared" si="9"/>
        <v>0.28499999999999998</v>
      </c>
      <c r="AB35" s="101">
        <v>27</v>
      </c>
      <c r="AC35" s="106">
        <f>5-(4*AB35/27)</f>
        <v>1</v>
      </c>
      <c r="AD35" s="105">
        <f t="shared" si="11"/>
        <v>0.1</v>
      </c>
      <c r="AE35" s="86">
        <v>36</v>
      </c>
      <c r="AF35" s="211">
        <f t="shared" si="27"/>
        <v>3.6</v>
      </c>
      <c r="AG35" s="108">
        <f>AF35*0.3</f>
        <v>1.08</v>
      </c>
      <c r="AH35" s="81">
        <v>12</v>
      </c>
      <c r="AI35" s="81">
        <v>26</v>
      </c>
      <c r="AJ35" s="96">
        <f t="shared" si="13"/>
        <v>38</v>
      </c>
      <c r="AK35" s="106">
        <f>ROUND(AVERAGE(5-4*(AJ35)/(AJ9)),1)</f>
        <v>3.5</v>
      </c>
      <c r="AL35" s="108">
        <f t="shared" si="14"/>
        <v>0.52500000000000002</v>
      </c>
      <c r="AM35" s="81">
        <v>35</v>
      </c>
      <c r="AN35" s="81">
        <v>38</v>
      </c>
      <c r="AO35" s="96">
        <f t="shared" si="26"/>
        <v>73</v>
      </c>
      <c r="AP35" s="148">
        <f>ROUND(AVERAGE(5-4*(AO35)/(AO9)),1)</f>
        <v>2.1</v>
      </c>
      <c r="AQ35" s="149">
        <f t="shared" si="16"/>
        <v>0.315</v>
      </c>
      <c r="AR35" s="81">
        <v>42</v>
      </c>
      <c r="AS35" s="81">
        <v>38</v>
      </c>
      <c r="AT35" s="93">
        <f t="shared" si="17"/>
        <v>80</v>
      </c>
      <c r="AU35" s="148">
        <f>ROUND(AVERAGE(5-4*(AT35)/(AT9)),1)</f>
        <v>1.8</v>
      </c>
      <c r="AV35" s="214">
        <f t="shared" si="28"/>
        <v>0.27</v>
      </c>
      <c r="AW35" s="81">
        <v>85</v>
      </c>
      <c r="AX35" s="81">
        <v>85</v>
      </c>
      <c r="AY35" s="81">
        <v>100</v>
      </c>
      <c r="AZ35" s="81">
        <f t="shared" si="19"/>
        <v>270</v>
      </c>
      <c r="BA35" s="148">
        <f>ROUND(AVERAGE(5-4*(AZ35)/(AZ9)), 1)</f>
        <v>1.4</v>
      </c>
      <c r="BB35" s="149">
        <f>BA35*0.15</f>
        <v>0.21</v>
      </c>
      <c r="BC35" s="81">
        <v>27</v>
      </c>
      <c r="BD35" s="148">
        <f>5-(4*BC35/BC9)</f>
        <v>1</v>
      </c>
      <c r="BE35" s="158">
        <f t="shared" si="21"/>
        <v>0.1</v>
      </c>
      <c r="BF35" s="81">
        <v>32</v>
      </c>
      <c r="BG35" s="148">
        <f>ROUND(AVERAGE(5-4*(BF35)/(BF9)),1)</f>
        <v>3.2</v>
      </c>
      <c r="BH35" s="149">
        <f t="shared" si="22"/>
        <v>0.96</v>
      </c>
      <c r="BI35" s="165">
        <f t="shared" si="23"/>
        <v>2.6950000000000003</v>
      </c>
      <c r="BJ35" s="165">
        <f t="shared" si="24"/>
        <v>2.38</v>
      </c>
      <c r="BK35" s="165">
        <f t="shared" si="0"/>
        <v>2.5375000000000001</v>
      </c>
      <c r="BL35" s="81" t="s">
        <v>91</v>
      </c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</row>
    <row r="36" spans="1:81" s="20" customFormat="1" ht="15" customHeight="1" x14ac:dyDescent="0.3">
      <c r="A36" s="322">
        <v>25</v>
      </c>
      <c r="B36" s="63" t="s">
        <v>467</v>
      </c>
      <c r="C36" s="65" t="s">
        <v>477</v>
      </c>
      <c r="D36" s="77">
        <v>27</v>
      </c>
      <c r="E36" s="86">
        <v>31</v>
      </c>
      <c r="F36" s="96">
        <f t="shared" si="1"/>
        <v>58</v>
      </c>
      <c r="G36" s="106">
        <f>ROUND(AVERAGE(5-4*(F36)/(F9)),1)</f>
        <v>2.7</v>
      </c>
      <c r="H36" s="108">
        <f t="shared" si="29"/>
        <v>0.40500000000000003</v>
      </c>
      <c r="I36" s="78">
        <v>30</v>
      </c>
      <c r="J36" s="305">
        <f t="shared" si="30"/>
        <v>1</v>
      </c>
      <c r="K36" s="78">
        <v>40</v>
      </c>
      <c r="L36" s="78">
        <v>35</v>
      </c>
      <c r="M36" s="81">
        <f t="shared" si="4"/>
        <v>75</v>
      </c>
      <c r="N36" s="106">
        <f>ROUND(AVERAGE(5-4*(M36)/(M9)),1)</f>
        <v>2</v>
      </c>
      <c r="O36" s="108">
        <f t="shared" si="5"/>
        <v>0.3</v>
      </c>
      <c r="P36" s="306" t="e">
        <f>ROUND(5-4*#REF!/10,1)</f>
        <v>#REF!</v>
      </c>
      <c r="Q36" s="307"/>
      <c r="R36" s="86">
        <v>42</v>
      </c>
      <c r="S36" s="86">
        <v>50</v>
      </c>
      <c r="T36" s="93">
        <f t="shared" si="6"/>
        <v>92</v>
      </c>
      <c r="U36" s="106">
        <f>ROUND(AVERAGE(5-4*(T36)/(T9)),1)</f>
        <v>1.3</v>
      </c>
      <c r="V36" s="108">
        <f t="shared" si="7"/>
        <v>0.19500000000000001</v>
      </c>
      <c r="W36" s="86">
        <v>90</v>
      </c>
      <c r="X36" s="95">
        <v>100</v>
      </c>
      <c r="Y36" s="96">
        <f>SUM(W36+X36)</f>
        <v>190</v>
      </c>
      <c r="Z36" s="106">
        <f>ROUND(AVERAGE(5-4*(Y36)/(Y9)),1)</f>
        <v>1.2</v>
      </c>
      <c r="AA36" s="105">
        <f t="shared" si="9"/>
        <v>0.18</v>
      </c>
      <c r="AB36" s="101">
        <v>27</v>
      </c>
      <c r="AC36" s="106">
        <f t="shared" si="10"/>
        <v>1</v>
      </c>
      <c r="AD36" s="105">
        <f t="shared" si="11"/>
        <v>0.1</v>
      </c>
      <c r="AE36" s="86">
        <v>57</v>
      </c>
      <c r="AF36" s="211">
        <f t="shared" si="27"/>
        <v>2.7</v>
      </c>
      <c r="AG36" s="108">
        <f t="shared" si="12"/>
        <v>0.81</v>
      </c>
      <c r="AH36" s="81">
        <v>26</v>
      </c>
      <c r="AI36" s="81">
        <v>38</v>
      </c>
      <c r="AJ36" s="96">
        <f t="shared" si="13"/>
        <v>64</v>
      </c>
      <c r="AK36" s="106">
        <f>ROUND(AVERAGE(5-4*(AJ36)/(AJ9)),1)</f>
        <v>2.4</v>
      </c>
      <c r="AL36" s="108">
        <f t="shared" si="14"/>
        <v>0.36</v>
      </c>
      <c r="AM36" s="81">
        <v>40</v>
      </c>
      <c r="AN36" s="81">
        <v>38</v>
      </c>
      <c r="AO36" s="96">
        <f t="shared" si="26"/>
        <v>78</v>
      </c>
      <c r="AP36" s="148">
        <f>ROUND(AVERAGE(5-4*(AO36)/(AO9)),1)</f>
        <v>1.9</v>
      </c>
      <c r="AQ36" s="149">
        <f t="shared" si="16"/>
        <v>0.28499999999999998</v>
      </c>
      <c r="AR36" s="81">
        <v>42</v>
      </c>
      <c r="AS36" s="81">
        <v>45</v>
      </c>
      <c r="AT36" s="93">
        <f t="shared" si="17"/>
        <v>87</v>
      </c>
      <c r="AU36" s="148">
        <f>ROUND(AVERAGE(5-4*(AT36)/(AT9)),1)</f>
        <v>1.5</v>
      </c>
      <c r="AV36" s="214">
        <f t="shared" si="28"/>
        <v>0.22499999999999998</v>
      </c>
      <c r="AW36" s="81">
        <v>100</v>
      </c>
      <c r="AX36" s="81">
        <v>100</v>
      </c>
      <c r="AY36" s="81">
        <v>100</v>
      </c>
      <c r="AZ36" s="81">
        <f t="shared" si="19"/>
        <v>300</v>
      </c>
      <c r="BA36" s="148">
        <f>ROUND(AVERAGE(5-4*(AZ36)/(AZ9)), 1)</f>
        <v>1</v>
      </c>
      <c r="BB36" s="149">
        <f t="shared" si="20"/>
        <v>0.15</v>
      </c>
      <c r="BC36" s="81">
        <v>27</v>
      </c>
      <c r="BD36" s="148">
        <f>5-(4*BC36/BC9)</f>
        <v>1</v>
      </c>
      <c r="BE36" s="158">
        <f t="shared" si="21"/>
        <v>0.1</v>
      </c>
      <c r="BF36" s="81">
        <v>33</v>
      </c>
      <c r="BG36" s="148">
        <f>ROUND(AVERAGE(5-4*(BF36)/(BF9)),1)</f>
        <v>3.1</v>
      </c>
      <c r="BH36" s="149">
        <f t="shared" si="22"/>
        <v>0.92999999999999994</v>
      </c>
      <c r="BI36" s="165">
        <f t="shared" si="23"/>
        <v>1.9900000000000002</v>
      </c>
      <c r="BJ36" s="165">
        <f t="shared" si="24"/>
        <v>2.0499999999999998</v>
      </c>
      <c r="BK36" s="165">
        <f t="shared" si="0"/>
        <v>2.02</v>
      </c>
      <c r="BL36" s="81" t="s">
        <v>91</v>
      </c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</row>
    <row r="37" spans="1:81" s="20" customFormat="1" ht="15" customHeight="1" x14ac:dyDescent="0.3">
      <c r="A37" s="322">
        <v>26</v>
      </c>
      <c r="B37" s="63" t="s">
        <v>468</v>
      </c>
      <c r="C37" s="65" t="s">
        <v>478</v>
      </c>
      <c r="D37" s="77">
        <v>47</v>
      </c>
      <c r="E37" s="86">
        <v>38</v>
      </c>
      <c r="F37" s="96">
        <f t="shared" si="1"/>
        <v>85</v>
      </c>
      <c r="G37" s="106">
        <f>ROUND(AVERAGE(5-4*(F37)/(F9)),1)</f>
        <v>1.6</v>
      </c>
      <c r="H37" s="108">
        <f t="shared" si="29"/>
        <v>0.24</v>
      </c>
      <c r="I37" s="78">
        <v>26</v>
      </c>
      <c r="J37" s="305">
        <f t="shared" si="30"/>
        <v>1.5</v>
      </c>
      <c r="K37" s="78">
        <v>36</v>
      </c>
      <c r="L37" s="78">
        <v>36</v>
      </c>
      <c r="M37" s="81">
        <f t="shared" si="4"/>
        <v>72</v>
      </c>
      <c r="N37" s="106">
        <f>ROUND(AVERAGE(5-4*(M37)/(M9)),1)</f>
        <v>2.1</v>
      </c>
      <c r="O37" s="108">
        <f t="shared" si="5"/>
        <v>0.315</v>
      </c>
      <c r="P37" s="306" t="e">
        <f>ROUND(5-4*#REF!/10,1)</f>
        <v>#REF!</v>
      </c>
      <c r="Q37" s="307"/>
      <c r="R37" s="86">
        <v>38</v>
      </c>
      <c r="S37" s="86">
        <v>50</v>
      </c>
      <c r="T37" s="93">
        <f t="shared" si="6"/>
        <v>88</v>
      </c>
      <c r="U37" s="106">
        <f>ROUND(AVERAGE(5-4*(T37)/(T9)),1)</f>
        <v>1.5</v>
      </c>
      <c r="V37" s="108">
        <f t="shared" si="7"/>
        <v>0.22499999999999998</v>
      </c>
      <c r="W37" s="86">
        <v>95</v>
      </c>
      <c r="X37" s="95">
        <v>100</v>
      </c>
      <c r="Y37" s="96">
        <f t="shared" si="8"/>
        <v>195</v>
      </c>
      <c r="Z37" s="106">
        <f>ROUND(AVERAGE(5-4*(Y37)/(Y9)),1)</f>
        <v>1.1000000000000001</v>
      </c>
      <c r="AA37" s="105">
        <f t="shared" si="9"/>
        <v>0.16500000000000001</v>
      </c>
      <c r="AB37" s="101">
        <v>27</v>
      </c>
      <c r="AC37" s="106">
        <f t="shared" si="10"/>
        <v>1</v>
      </c>
      <c r="AD37" s="105">
        <f t="shared" si="11"/>
        <v>0.1</v>
      </c>
      <c r="AE37" s="86">
        <v>83</v>
      </c>
      <c r="AF37" s="211">
        <f t="shared" si="27"/>
        <v>1.7</v>
      </c>
      <c r="AG37" s="108">
        <f t="shared" si="12"/>
        <v>0.51</v>
      </c>
      <c r="AH37" s="81">
        <v>32</v>
      </c>
      <c r="AI37" s="81">
        <v>46</v>
      </c>
      <c r="AJ37" s="96">
        <f t="shared" si="13"/>
        <v>78</v>
      </c>
      <c r="AK37" s="106">
        <f>ROUND(AVERAGE(5-4*(AJ37)/(AJ9)),1)</f>
        <v>1.9</v>
      </c>
      <c r="AL37" s="108">
        <f t="shared" si="14"/>
        <v>0.28499999999999998</v>
      </c>
      <c r="AM37" s="81">
        <v>42</v>
      </c>
      <c r="AN37" s="81">
        <v>44</v>
      </c>
      <c r="AO37" s="96">
        <f t="shared" si="26"/>
        <v>86</v>
      </c>
      <c r="AP37" s="148">
        <f>ROUND(AVERAGE(5-4*(AO37)/(AO9)),1)</f>
        <v>1.6</v>
      </c>
      <c r="AQ37" s="149">
        <f t="shared" si="16"/>
        <v>0.24</v>
      </c>
      <c r="AR37" s="81">
        <v>42</v>
      </c>
      <c r="AS37" s="81">
        <v>45</v>
      </c>
      <c r="AT37" s="93">
        <f t="shared" si="17"/>
        <v>87</v>
      </c>
      <c r="AU37" s="148">
        <f>ROUND(AVERAGE(5-4*(AT37)/(AT9)),1)</f>
        <v>1.5</v>
      </c>
      <c r="AV37" s="214">
        <f t="shared" si="28"/>
        <v>0.22499999999999998</v>
      </c>
      <c r="AW37" s="81">
        <v>100</v>
      </c>
      <c r="AX37" s="81">
        <v>100</v>
      </c>
      <c r="AY37" s="81">
        <v>100</v>
      </c>
      <c r="AZ37" s="81">
        <f t="shared" si="19"/>
        <v>300</v>
      </c>
      <c r="BA37" s="148">
        <f>ROUND(AVERAGE(5-4*(AZ37)/(AZ9)), 1)</f>
        <v>1</v>
      </c>
      <c r="BB37" s="149">
        <f t="shared" si="20"/>
        <v>0.15</v>
      </c>
      <c r="BC37" s="81">
        <v>27</v>
      </c>
      <c r="BD37" s="148">
        <f>5-(4*BC37/BC9)</f>
        <v>1</v>
      </c>
      <c r="BE37" s="158">
        <f t="shared" si="21"/>
        <v>0.1</v>
      </c>
      <c r="BF37" s="81">
        <v>48</v>
      </c>
      <c r="BG37" s="148">
        <f>ROUND(AVERAGE(5-4*(BF37)/(BF9)),1)</f>
        <v>2.2999999999999998</v>
      </c>
      <c r="BH37" s="149">
        <f t="shared" si="22"/>
        <v>0.69</v>
      </c>
      <c r="BI37" s="165">
        <f t="shared" si="23"/>
        <v>1.5549999999999999</v>
      </c>
      <c r="BJ37" s="165">
        <f t="shared" si="24"/>
        <v>1.69</v>
      </c>
      <c r="BK37" s="165">
        <f t="shared" si="0"/>
        <v>1.6225000000000001</v>
      </c>
      <c r="BL37" s="81" t="s">
        <v>91</v>
      </c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</row>
    <row r="38" spans="1:81" s="20" customFormat="1" ht="15" customHeight="1" x14ac:dyDescent="0.3">
      <c r="A38" s="322">
        <v>27</v>
      </c>
      <c r="B38" s="63" t="s">
        <v>469</v>
      </c>
      <c r="C38" s="65" t="s">
        <v>491</v>
      </c>
      <c r="D38" s="77">
        <v>29</v>
      </c>
      <c r="E38" s="86">
        <v>28</v>
      </c>
      <c r="F38" s="96">
        <f t="shared" si="1"/>
        <v>57</v>
      </c>
      <c r="G38" s="106">
        <f>ROUND(AVERAGE(5-4*(F38)/(F9)),1)</f>
        <v>2.7</v>
      </c>
      <c r="H38" s="108">
        <f t="shared" si="29"/>
        <v>0.40500000000000003</v>
      </c>
      <c r="I38" s="78">
        <v>25</v>
      </c>
      <c r="J38" s="305">
        <f t="shared" si="30"/>
        <v>1.7</v>
      </c>
      <c r="K38" s="78">
        <v>36</v>
      </c>
      <c r="L38" s="78">
        <v>30</v>
      </c>
      <c r="M38" s="81">
        <f t="shared" si="4"/>
        <v>66</v>
      </c>
      <c r="N38" s="106">
        <f>ROUND(AVERAGE(5-4*(M38)/(M9)),1)</f>
        <v>2.4</v>
      </c>
      <c r="O38" s="108">
        <f t="shared" si="5"/>
        <v>0.36</v>
      </c>
      <c r="P38" s="306" t="e">
        <f>ROUND(5-4*#REF!/10,1)</f>
        <v>#REF!</v>
      </c>
      <c r="Q38" s="307"/>
      <c r="R38" s="86">
        <v>35</v>
      </c>
      <c r="S38" s="86">
        <v>40</v>
      </c>
      <c r="T38" s="93">
        <f t="shared" si="6"/>
        <v>75</v>
      </c>
      <c r="U38" s="106">
        <f>ROUND(AVERAGE(5-4*(T38)/(T9)),1)</f>
        <v>2</v>
      </c>
      <c r="V38" s="108">
        <f t="shared" si="7"/>
        <v>0.3</v>
      </c>
      <c r="W38" s="86">
        <v>84</v>
      </c>
      <c r="X38" s="95">
        <v>90</v>
      </c>
      <c r="Y38" s="96">
        <f t="shared" si="8"/>
        <v>174</v>
      </c>
      <c r="Z38" s="106">
        <f>ROUND(AVERAGE(5-4*(Y38)/(Y9)),1)</f>
        <v>1.5</v>
      </c>
      <c r="AA38" s="105">
        <f t="shared" si="9"/>
        <v>0.22499999999999998</v>
      </c>
      <c r="AB38" s="101">
        <v>27</v>
      </c>
      <c r="AC38" s="106">
        <f t="shared" si="10"/>
        <v>1</v>
      </c>
      <c r="AD38" s="105">
        <f t="shared" si="11"/>
        <v>0.1</v>
      </c>
      <c r="AE38" s="86">
        <v>39</v>
      </c>
      <c r="AF38" s="211">
        <f t="shared" si="27"/>
        <v>3.4</v>
      </c>
      <c r="AG38" s="108">
        <f t="shared" si="12"/>
        <v>1.02</v>
      </c>
      <c r="AH38" s="81">
        <v>24</v>
      </c>
      <c r="AI38" s="81">
        <v>44</v>
      </c>
      <c r="AJ38" s="96">
        <f t="shared" si="13"/>
        <v>68</v>
      </c>
      <c r="AK38" s="106">
        <f>ROUND(AVERAGE(5-4*(AJ38)/(AJ9)),1)</f>
        <v>2.2999999999999998</v>
      </c>
      <c r="AL38" s="108">
        <f t="shared" si="14"/>
        <v>0.34499999999999997</v>
      </c>
      <c r="AM38" s="81">
        <v>40</v>
      </c>
      <c r="AN38" s="81">
        <v>40</v>
      </c>
      <c r="AO38" s="96">
        <f t="shared" si="26"/>
        <v>80</v>
      </c>
      <c r="AP38" s="148">
        <f>ROUND(AVERAGE(5-4*(AO38)/(AO9)),1)</f>
        <v>1.8</v>
      </c>
      <c r="AQ38" s="149">
        <f t="shared" si="16"/>
        <v>0.27</v>
      </c>
      <c r="AR38" s="81">
        <v>37</v>
      </c>
      <c r="AS38" s="81">
        <v>41</v>
      </c>
      <c r="AT38" s="93">
        <f t="shared" si="17"/>
        <v>78</v>
      </c>
      <c r="AU38" s="148">
        <f>ROUND(AVERAGE(5-4*(AT38)/(AT9)),1)</f>
        <v>1.9</v>
      </c>
      <c r="AV38" s="214">
        <f t="shared" si="28"/>
        <v>0.28499999999999998</v>
      </c>
      <c r="AW38" s="81">
        <v>95</v>
      </c>
      <c r="AX38" s="81">
        <v>95</v>
      </c>
      <c r="AY38" s="81">
        <v>100</v>
      </c>
      <c r="AZ38" s="81">
        <f t="shared" si="19"/>
        <v>290</v>
      </c>
      <c r="BA38" s="148">
        <f>ROUND(AVERAGE(5-4*(AZ38)/(AZ9)), 1)</f>
        <v>1.1000000000000001</v>
      </c>
      <c r="BB38" s="149">
        <f t="shared" si="20"/>
        <v>0.16500000000000001</v>
      </c>
      <c r="BC38" s="81">
        <v>27</v>
      </c>
      <c r="BD38" s="148">
        <f>5-(4*BC38/BC9)</f>
        <v>1</v>
      </c>
      <c r="BE38" s="158">
        <f t="shared" si="21"/>
        <v>0.1</v>
      </c>
      <c r="BF38" s="206">
        <v>52</v>
      </c>
      <c r="BG38" s="148">
        <f>ROUND(AVERAGE(5-4*(BF38)/(BF9)),1)</f>
        <v>2</v>
      </c>
      <c r="BH38" s="149">
        <f t="shared" si="22"/>
        <v>0.6</v>
      </c>
      <c r="BI38" s="165">
        <f t="shared" si="23"/>
        <v>2.41</v>
      </c>
      <c r="BJ38" s="165">
        <f t="shared" si="24"/>
        <v>1.7650000000000001</v>
      </c>
      <c r="BK38" s="165">
        <f t="shared" si="0"/>
        <v>2.0875000000000004</v>
      </c>
      <c r="BL38" s="81" t="s">
        <v>91</v>
      </c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</row>
    <row r="39" spans="1:81" s="20" customFormat="1" ht="15" customHeight="1" x14ac:dyDescent="0.3">
      <c r="A39" s="322">
        <v>28</v>
      </c>
      <c r="B39" s="63" t="s">
        <v>470</v>
      </c>
      <c r="C39" s="65" t="s">
        <v>440</v>
      </c>
      <c r="D39" s="77">
        <v>40</v>
      </c>
      <c r="E39" s="86">
        <v>36</v>
      </c>
      <c r="F39" s="96">
        <f t="shared" si="1"/>
        <v>76</v>
      </c>
      <c r="G39" s="106">
        <f>ROUND(AVERAGE(5-4*(F39)/(F9)),1)</f>
        <v>2</v>
      </c>
      <c r="H39" s="108">
        <f t="shared" si="29"/>
        <v>0.3</v>
      </c>
      <c r="I39" s="78">
        <v>26</v>
      </c>
      <c r="J39" s="305">
        <f t="shared" si="30"/>
        <v>1.5</v>
      </c>
      <c r="K39" s="78">
        <v>36</v>
      </c>
      <c r="L39" s="78">
        <v>32</v>
      </c>
      <c r="M39" s="81">
        <f t="shared" si="4"/>
        <v>68</v>
      </c>
      <c r="N39" s="106">
        <f>ROUND(AVERAGE(5-4*(M39)/(M9)),1)</f>
        <v>2.2999999999999998</v>
      </c>
      <c r="O39" s="108">
        <f t="shared" si="5"/>
        <v>0.34499999999999997</v>
      </c>
      <c r="P39" s="306" t="e">
        <f>ROUND(5-4*#REF!/10,1)</f>
        <v>#REF!</v>
      </c>
      <c r="Q39" s="307"/>
      <c r="R39" s="86">
        <v>38</v>
      </c>
      <c r="S39" s="86">
        <v>30</v>
      </c>
      <c r="T39" s="93">
        <f t="shared" si="6"/>
        <v>68</v>
      </c>
      <c r="U39" s="106">
        <f>ROUND(AVERAGE(5-4*(T39)/(T9)),1)</f>
        <v>2.2999999999999998</v>
      </c>
      <c r="V39" s="108">
        <f t="shared" si="7"/>
        <v>0.34499999999999997</v>
      </c>
      <c r="W39" s="86">
        <v>100</v>
      </c>
      <c r="X39" s="95">
        <v>100</v>
      </c>
      <c r="Y39" s="96">
        <f t="shared" si="8"/>
        <v>200</v>
      </c>
      <c r="Z39" s="106">
        <f>ROUND(AVERAGE(5-4*(Y39)/(Y9)),1)</f>
        <v>1</v>
      </c>
      <c r="AA39" s="105">
        <f t="shared" si="9"/>
        <v>0.15</v>
      </c>
      <c r="AB39" s="101">
        <v>27</v>
      </c>
      <c r="AC39" s="106">
        <f t="shared" si="10"/>
        <v>1</v>
      </c>
      <c r="AD39" s="105">
        <f t="shared" si="11"/>
        <v>0.1</v>
      </c>
      <c r="AE39" s="86">
        <v>64</v>
      </c>
      <c r="AF39" s="211">
        <f t="shared" si="27"/>
        <v>2.4</v>
      </c>
      <c r="AG39" s="108">
        <f t="shared" si="12"/>
        <v>0.72</v>
      </c>
      <c r="AH39" s="81">
        <v>40</v>
      </c>
      <c r="AI39" s="81">
        <v>42</v>
      </c>
      <c r="AJ39" s="96">
        <f t="shared" si="13"/>
        <v>82</v>
      </c>
      <c r="AK39" s="106">
        <f>ROUND(AVERAGE(5-4*(AJ39)/(AJ9)),1)</f>
        <v>1.7</v>
      </c>
      <c r="AL39" s="108">
        <f t="shared" si="14"/>
        <v>0.255</v>
      </c>
      <c r="AM39" s="81">
        <v>40</v>
      </c>
      <c r="AN39" s="81">
        <v>40</v>
      </c>
      <c r="AO39" s="96">
        <f t="shared" si="26"/>
        <v>80</v>
      </c>
      <c r="AP39" s="148">
        <f>ROUND(AVERAGE(5-4*(AO39)/(AO9)),1)</f>
        <v>1.8</v>
      </c>
      <c r="AQ39" s="149">
        <f t="shared" si="16"/>
        <v>0.27</v>
      </c>
      <c r="AR39" s="81">
        <v>40</v>
      </c>
      <c r="AS39" s="81">
        <v>41</v>
      </c>
      <c r="AT39" s="93">
        <f t="shared" si="17"/>
        <v>81</v>
      </c>
      <c r="AU39" s="148">
        <f>ROUND(AVERAGE(5-4*(AT39)/(AT9)),1)</f>
        <v>1.8</v>
      </c>
      <c r="AV39" s="214">
        <f t="shared" si="28"/>
        <v>0.27</v>
      </c>
      <c r="AW39" s="81">
        <v>100</v>
      </c>
      <c r="AX39" s="81">
        <v>100</v>
      </c>
      <c r="AY39" s="81">
        <v>100</v>
      </c>
      <c r="AZ39" s="81">
        <f t="shared" si="19"/>
        <v>300</v>
      </c>
      <c r="BA39" s="148">
        <f>ROUND(AVERAGE(5-4*(AZ39)/(AZ9)), 1)</f>
        <v>1</v>
      </c>
      <c r="BB39" s="149">
        <f>BA39*0.15</f>
        <v>0.15</v>
      </c>
      <c r="BC39" s="81">
        <v>27</v>
      </c>
      <c r="BD39" s="148">
        <f>5-(4*BC39/BC9)</f>
        <v>1</v>
      </c>
      <c r="BE39" s="158">
        <f t="shared" si="21"/>
        <v>0.1</v>
      </c>
      <c r="BF39" s="81">
        <v>43</v>
      </c>
      <c r="BG39" s="148">
        <f>ROUND(AVERAGE(5-4*(BF39)/(BF9)),1)</f>
        <v>2.5</v>
      </c>
      <c r="BH39" s="149">
        <f t="shared" si="22"/>
        <v>0.75</v>
      </c>
      <c r="BI39" s="165">
        <f t="shared" si="23"/>
        <v>1.96</v>
      </c>
      <c r="BJ39" s="165">
        <f t="shared" si="24"/>
        <v>1.7950000000000002</v>
      </c>
      <c r="BK39" s="165">
        <f t="shared" si="0"/>
        <v>1.8774999999999999</v>
      </c>
      <c r="BL39" s="81" t="s">
        <v>91</v>
      </c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</row>
    <row r="40" spans="1:81" s="20" customFormat="1" ht="15" customHeight="1" x14ac:dyDescent="0.3">
      <c r="A40" s="322">
        <v>29</v>
      </c>
      <c r="B40" s="199" t="s">
        <v>471</v>
      </c>
      <c r="C40" s="200" t="s">
        <v>497</v>
      </c>
      <c r="D40" s="201">
        <v>33</v>
      </c>
      <c r="E40" s="202">
        <v>29</v>
      </c>
      <c r="F40" s="203">
        <f>SUM(D40+E40)</f>
        <v>62</v>
      </c>
      <c r="G40" s="209">
        <f>ROUND(AVERAGE(5-4*(F40)/(F9)),1)</f>
        <v>2.5</v>
      </c>
      <c r="H40" s="212">
        <f t="shared" si="29"/>
        <v>0.375</v>
      </c>
      <c r="I40" s="205">
        <v>25</v>
      </c>
      <c r="J40" s="310">
        <f t="shared" si="30"/>
        <v>1.7</v>
      </c>
      <c r="K40" s="205">
        <v>38</v>
      </c>
      <c r="L40" s="205">
        <v>39</v>
      </c>
      <c r="M40" s="81">
        <f t="shared" si="4"/>
        <v>77</v>
      </c>
      <c r="N40" s="209">
        <f>ROUND(AVERAGE(5-4*(M40)/(M9)),1)</f>
        <v>1.9</v>
      </c>
      <c r="O40" s="212">
        <f t="shared" si="5"/>
        <v>0.28499999999999998</v>
      </c>
      <c r="P40" s="311" t="e">
        <f>ROUND(5-4*#REF!/10,1)</f>
        <v>#REF!</v>
      </c>
      <c r="Q40" s="312"/>
      <c r="R40" s="202">
        <v>32</v>
      </c>
      <c r="S40" s="202">
        <v>30</v>
      </c>
      <c r="T40" s="93">
        <f t="shared" si="6"/>
        <v>62</v>
      </c>
      <c r="U40" s="209">
        <f>ROUND(AVERAGE(5-4*(T40)/(T9)),1)</f>
        <v>2.5</v>
      </c>
      <c r="V40" s="212">
        <f t="shared" si="7"/>
        <v>0.375</v>
      </c>
      <c r="W40" s="202">
        <v>88</v>
      </c>
      <c r="X40" s="208">
        <v>90</v>
      </c>
      <c r="Y40" s="203">
        <f t="shared" si="8"/>
        <v>178</v>
      </c>
      <c r="Z40" s="209">
        <f>ROUND(AVERAGE(5-4*(Y40)/(Y9)),1)</f>
        <v>1.4</v>
      </c>
      <c r="AA40" s="204">
        <f t="shared" si="9"/>
        <v>0.21</v>
      </c>
      <c r="AB40" s="210">
        <v>27</v>
      </c>
      <c r="AC40" s="209">
        <f t="shared" si="10"/>
        <v>1</v>
      </c>
      <c r="AD40" s="204">
        <f t="shared" si="11"/>
        <v>0.1</v>
      </c>
      <c r="AE40" s="202">
        <v>54</v>
      </c>
      <c r="AF40" s="211">
        <f t="shared" si="27"/>
        <v>2.8</v>
      </c>
      <c r="AG40" s="212">
        <f t="shared" si="12"/>
        <v>0.84</v>
      </c>
      <c r="AH40" s="206">
        <v>40</v>
      </c>
      <c r="AI40" s="206">
        <v>46</v>
      </c>
      <c r="AJ40" s="96">
        <f t="shared" si="13"/>
        <v>86</v>
      </c>
      <c r="AK40" s="209">
        <f>ROUND(AVERAGE(5-4*(AJ40)/(AJ9)),1)</f>
        <v>1.6</v>
      </c>
      <c r="AL40" s="212">
        <f t="shared" si="14"/>
        <v>0.24</v>
      </c>
      <c r="AM40" s="206">
        <v>42</v>
      </c>
      <c r="AN40" s="206">
        <v>40</v>
      </c>
      <c r="AO40" s="96">
        <f t="shared" si="26"/>
        <v>82</v>
      </c>
      <c r="AP40" s="213">
        <f>ROUND(AVERAGE(5-4*(AO40)/(AO9)),1)</f>
        <v>1.7</v>
      </c>
      <c r="AQ40" s="214">
        <f t="shared" si="16"/>
        <v>0.255</v>
      </c>
      <c r="AR40" s="206">
        <v>40</v>
      </c>
      <c r="AS40" s="206">
        <v>40</v>
      </c>
      <c r="AT40" s="93">
        <f t="shared" si="17"/>
        <v>80</v>
      </c>
      <c r="AU40" s="213">
        <f>ROUND(AVERAGE(5-4*(AT40)/(AT9)),1)</f>
        <v>1.8</v>
      </c>
      <c r="AV40" s="214">
        <f t="shared" si="28"/>
        <v>0.27</v>
      </c>
      <c r="AW40" s="206">
        <v>100</v>
      </c>
      <c r="AX40" s="206">
        <v>100</v>
      </c>
      <c r="AY40" s="206">
        <v>100</v>
      </c>
      <c r="AZ40" s="81">
        <f t="shared" si="19"/>
        <v>300</v>
      </c>
      <c r="BA40" s="213">
        <f>ROUND(AVERAGE(5-4*(AZ40)/(AZ9)), 1)</f>
        <v>1</v>
      </c>
      <c r="BB40" s="214">
        <f t="shared" si="20"/>
        <v>0.15</v>
      </c>
      <c r="BC40" s="81">
        <v>27</v>
      </c>
      <c r="BD40" s="213">
        <f>5-(4*BC40/BC9)</f>
        <v>1</v>
      </c>
      <c r="BE40" s="215">
        <f t="shared" si="21"/>
        <v>0.1</v>
      </c>
      <c r="BF40" s="206">
        <v>53</v>
      </c>
      <c r="BG40" s="213">
        <f>ROUND(AVERAGE(5-4*(BF40)/(BF9)),1)</f>
        <v>2</v>
      </c>
      <c r="BH40" s="214">
        <f t="shared" si="22"/>
        <v>0.6</v>
      </c>
      <c r="BI40" s="165">
        <f t="shared" si="23"/>
        <v>2.1850000000000001</v>
      </c>
      <c r="BJ40" s="216">
        <f t="shared" si="24"/>
        <v>1.6150000000000002</v>
      </c>
      <c r="BK40" s="165">
        <f t="shared" si="0"/>
        <v>1.9000000000000001</v>
      </c>
      <c r="BL40" s="206" t="s">
        <v>91</v>
      </c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</row>
    <row r="41" spans="1:81" s="20" customFormat="1" ht="15" customHeight="1" x14ac:dyDescent="0.3">
      <c r="A41" s="322">
        <v>30</v>
      </c>
      <c r="B41" s="63" t="s">
        <v>471</v>
      </c>
      <c r="C41" s="65" t="s">
        <v>496</v>
      </c>
      <c r="D41" s="77">
        <v>29</v>
      </c>
      <c r="E41" s="90">
        <v>31</v>
      </c>
      <c r="F41" s="96">
        <f t="shared" si="1"/>
        <v>60</v>
      </c>
      <c r="G41" s="106">
        <f>ROUND(AVERAGE(5-4*(F41)/(F9)),1)</f>
        <v>2.6</v>
      </c>
      <c r="H41" s="108">
        <f t="shared" si="29"/>
        <v>0.39</v>
      </c>
      <c r="I41" s="78">
        <v>25</v>
      </c>
      <c r="J41" s="305">
        <f t="shared" si="30"/>
        <v>1.7</v>
      </c>
      <c r="K41" s="78">
        <v>36</v>
      </c>
      <c r="L41" s="78">
        <v>40</v>
      </c>
      <c r="M41" s="81">
        <f t="shared" si="4"/>
        <v>76</v>
      </c>
      <c r="N41" s="106">
        <f>ROUND(AVERAGE(5-4*(M41)/(M9)),1)</f>
        <v>2</v>
      </c>
      <c r="O41" s="108">
        <f t="shared" si="5"/>
        <v>0.3</v>
      </c>
      <c r="P41" s="306" t="e">
        <f>ROUND(5-4*#REF!/10,1)</f>
        <v>#REF!</v>
      </c>
      <c r="Q41" s="307"/>
      <c r="R41" s="90">
        <v>39</v>
      </c>
      <c r="S41" s="86">
        <v>42</v>
      </c>
      <c r="T41" s="93">
        <f t="shared" si="6"/>
        <v>81</v>
      </c>
      <c r="U41" s="106">
        <f>ROUND(AVERAGE(5-4*(T41)/(T9)),1)</f>
        <v>1.8</v>
      </c>
      <c r="V41" s="108">
        <f t="shared" si="7"/>
        <v>0.27</v>
      </c>
      <c r="W41" s="86">
        <v>85</v>
      </c>
      <c r="X41" s="95">
        <v>100</v>
      </c>
      <c r="Y41" s="203">
        <f t="shared" si="8"/>
        <v>185</v>
      </c>
      <c r="Z41" s="106">
        <f>ROUND(AVERAGE(5-4*(Y41)/(Y9)),1)</f>
        <v>1.3</v>
      </c>
      <c r="AA41" s="105">
        <f t="shared" si="9"/>
        <v>0.19500000000000001</v>
      </c>
      <c r="AB41" s="101">
        <v>25.5</v>
      </c>
      <c r="AC41" s="106">
        <f t="shared" si="10"/>
        <v>1.2222222222222223</v>
      </c>
      <c r="AD41" s="105">
        <f t="shared" si="11"/>
        <v>0.12222222222222223</v>
      </c>
      <c r="AE41" s="86">
        <v>60</v>
      </c>
      <c r="AF41" s="211">
        <f t="shared" si="27"/>
        <v>2.6</v>
      </c>
      <c r="AG41" s="108">
        <f t="shared" si="12"/>
        <v>0.78</v>
      </c>
      <c r="AH41" s="81">
        <v>26</v>
      </c>
      <c r="AI41" s="81">
        <v>41</v>
      </c>
      <c r="AJ41" s="96">
        <f t="shared" si="13"/>
        <v>67</v>
      </c>
      <c r="AK41" s="106">
        <f>ROUND(AVERAGE(5-4*(AJ41)/(AJ9)),1)</f>
        <v>2.2999999999999998</v>
      </c>
      <c r="AL41" s="108">
        <f t="shared" si="14"/>
        <v>0.34499999999999997</v>
      </c>
      <c r="AM41" s="81">
        <v>38</v>
      </c>
      <c r="AN41" s="81">
        <v>42</v>
      </c>
      <c r="AO41" s="96">
        <f t="shared" si="26"/>
        <v>80</v>
      </c>
      <c r="AP41" s="148">
        <f>ROUND(AVERAGE(5-4*(AO41)/(AO9)),1)</f>
        <v>1.8</v>
      </c>
      <c r="AQ41" s="149">
        <f t="shared" si="16"/>
        <v>0.27</v>
      </c>
      <c r="AR41" s="81">
        <v>38</v>
      </c>
      <c r="AS41" s="81">
        <v>42</v>
      </c>
      <c r="AT41" s="93">
        <f t="shared" si="17"/>
        <v>80</v>
      </c>
      <c r="AU41" s="148">
        <f>ROUND(AVERAGE(5-4*(AT41)/(AT9)),1)</f>
        <v>1.8</v>
      </c>
      <c r="AV41" s="214">
        <f t="shared" si="28"/>
        <v>0.27</v>
      </c>
      <c r="AW41" s="81">
        <v>100</v>
      </c>
      <c r="AX41" s="81">
        <v>100</v>
      </c>
      <c r="AY41" s="81">
        <v>100</v>
      </c>
      <c r="AZ41" s="81">
        <f t="shared" si="19"/>
        <v>300</v>
      </c>
      <c r="BA41" s="148">
        <f>ROUND(AVERAGE(5-4*(AZ41)/(AZ9)), 1)</f>
        <v>1</v>
      </c>
      <c r="BB41" s="149">
        <f t="shared" si="20"/>
        <v>0.15</v>
      </c>
      <c r="BC41" s="81">
        <v>27</v>
      </c>
      <c r="BD41" s="148">
        <f>5-(4*BC41/BC9)</f>
        <v>1</v>
      </c>
      <c r="BE41" s="158">
        <f t="shared" si="21"/>
        <v>0.1</v>
      </c>
      <c r="BF41" s="81">
        <v>43</v>
      </c>
      <c r="BG41" s="148">
        <f>ROUND(AVERAGE(5-4*(BF41)/(BF9)),1)</f>
        <v>2.5</v>
      </c>
      <c r="BH41" s="149">
        <f t="shared" si="22"/>
        <v>0.75</v>
      </c>
      <c r="BI41" s="165">
        <f t="shared" si="23"/>
        <v>2.0572222222222223</v>
      </c>
      <c r="BJ41" s="165">
        <f t="shared" si="24"/>
        <v>1.885</v>
      </c>
      <c r="BK41" s="165">
        <f t="shared" si="0"/>
        <v>1.971111111111111</v>
      </c>
      <c r="BL41" s="81" t="s">
        <v>91</v>
      </c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</row>
    <row r="42" spans="1:81" s="20" customFormat="1" ht="15" customHeight="1" x14ac:dyDescent="0.3">
      <c r="A42" s="322">
        <v>31</v>
      </c>
      <c r="B42" s="63" t="s">
        <v>443</v>
      </c>
      <c r="C42" s="65" t="s">
        <v>441</v>
      </c>
      <c r="D42" s="77">
        <v>40</v>
      </c>
      <c r="E42" s="90">
        <v>37</v>
      </c>
      <c r="F42" s="96">
        <f t="shared" si="1"/>
        <v>77</v>
      </c>
      <c r="G42" s="106">
        <f>ROUND(AVERAGE(5-4*(F42)/(F9)),1)</f>
        <v>1.9</v>
      </c>
      <c r="H42" s="108">
        <f t="shared" si="29"/>
        <v>0.28499999999999998</v>
      </c>
      <c r="I42" s="78"/>
      <c r="J42" s="305"/>
      <c r="K42" s="78">
        <v>35</v>
      </c>
      <c r="L42" s="78">
        <v>30</v>
      </c>
      <c r="M42" s="81">
        <f t="shared" si="4"/>
        <v>65</v>
      </c>
      <c r="N42" s="106">
        <f>ROUND(AVERAGE(5-4*(M42)/(M9)),1)</f>
        <v>2.4</v>
      </c>
      <c r="O42" s="108">
        <f t="shared" si="5"/>
        <v>0.36</v>
      </c>
      <c r="P42" s="306"/>
      <c r="Q42" s="314"/>
      <c r="R42" s="90">
        <v>39</v>
      </c>
      <c r="S42" s="86">
        <v>30</v>
      </c>
      <c r="T42" s="93">
        <f t="shared" si="6"/>
        <v>69</v>
      </c>
      <c r="U42" s="106">
        <f>ROUND(AVERAGE(5-4*(T42)/(T9)),1)</f>
        <v>2.2000000000000002</v>
      </c>
      <c r="V42" s="108">
        <f t="shared" si="7"/>
        <v>0.33</v>
      </c>
      <c r="W42" s="86">
        <v>88</v>
      </c>
      <c r="X42" s="95">
        <v>90</v>
      </c>
      <c r="Y42" s="203">
        <f t="shared" si="8"/>
        <v>178</v>
      </c>
      <c r="Z42" s="106">
        <f>ROUND(AVERAGE(5-4*(Y42)/(Y9)),1)</f>
        <v>1.4</v>
      </c>
      <c r="AA42" s="105">
        <f t="shared" si="9"/>
        <v>0.21</v>
      </c>
      <c r="AB42" s="101">
        <v>27</v>
      </c>
      <c r="AC42" s="106">
        <f t="shared" si="10"/>
        <v>1</v>
      </c>
      <c r="AD42" s="105">
        <f t="shared" si="11"/>
        <v>0.1</v>
      </c>
      <c r="AE42" s="86">
        <v>61</v>
      </c>
      <c r="AF42" s="211">
        <f t="shared" si="27"/>
        <v>2.6</v>
      </c>
      <c r="AG42" s="108">
        <f t="shared" si="12"/>
        <v>0.78</v>
      </c>
      <c r="AH42" s="81">
        <v>35</v>
      </c>
      <c r="AI42" s="81">
        <v>44</v>
      </c>
      <c r="AJ42" s="96">
        <f t="shared" si="13"/>
        <v>79</v>
      </c>
      <c r="AK42" s="106">
        <f>ROUND(AVERAGE(5-4*(AJ42)/(AJ9)),1)</f>
        <v>1.8</v>
      </c>
      <c r="AL42" s="108">
        <f t="shared" si="14"/>
        <v>0.27</v>
      </c>
      <c r="AM42" s="81">
        <v>38</v>
      </c>
      <c r="AN42" s="81">
        <v>45</v>
      </c>
      <c r="AO42" s="96">
        <f t="shared" si="26"/>
        <v>83</v>
      </c>
      <c r="AP42" s="148">
        <f>ROUND(AVERAGE(5-4*(AO42)/(AO9)),1)</f>
        <v>1.7</v>
      </c>
      <c r="AQ42" s="149">
        <f>AP42*0.15</f>
        <v>0.255</v>
      </c>
      <c r="AR42" s="81">
        <v>38</v>
      </c>
      <c r="AS42" s="81">
        <v>42</v>
      </c>
      <c r="AT42" s="93">
        <f t="shared" si="17"/>
        <v>80</v>
      </c>
      <c r="AU42" s="148">
        <f>ROUND(AVERAGE(5-4*(AT42)/(AT9)),1)</f>
        <v>1.8</v>
      </c>
      <c r="AV42" s="214">
        <f t="shared" si="28"/>
        <v>0.27</v>
      </c>
      <c r="AW42" s="81">
        <v>90</v>
      </c>
      <c r="AX42" s="81">
        <v>90</v>
      </c>
      <c r="AY42" s="81">
        <v>100</v>
      </c>
      <c r="AZ42" s="81">
        <f t="shared" si="19"/>
        <v>280</v>
      </c>
      <c r="BA42" s="148">
        <f>ROUND(AVERAGE(5-4*(AZ42)/(AZ9)), 1)</f>
        <v>1.3</v>
      </c>
      <c r="BB42" s="149">
        <f t="shared" si="20"/>
        <v>0.19500000000000001</v>
      </c>
      <c r="BC42" s="81">
        <v>27</v>
      </c>
      <c r="BD42" s="148">
        <f>5-(4*BC42/BC9)</f>
        <v>1</v>
      </c>
      <c r="BE42" s="158">
        <f t="shared" si="21"/>
        <v>0.1</v>
      </c>
      <c r="BF42" s="81">
        <v>49</v>
      </c>
      <c r="BG42" s="148">
        <f>ROUND(AVERAGE(5-4*(BF42)/(BF9)),1)</f>
        <v>2.2000000000000002</v>
      </c>
      <c r="BH42" s="149">
        <f t="shared" si="22"/>
        <v>0.66</v>
      </c>
      <c r="BI42" s="165">
        <f t="shared" si="23"/>
        <v>2.0650000000000004</v>
      </c>
      <c r="BJ42" s="165">
        <f t="shared" si="24"/>
        <v>1.75</v>
      </c>
      <c r="BK42" s="165">
        <f t="shared" si="0"/>
        <v>1.9075000000000002</v>
      </c>
      <c r="BL42" s="81" t="s">
        <v>91</v>
      </c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</row>
    <row r="43" spans="1:81" s="20" customFormat="1" ht="15" customHeight="1" x14ac:dyDescent="0.3">
      <c r="A43" s="322">
        <v>32</v>
      </c>
      <c r="B43" s="63" t="s">
        <v>444</v>
      </c>
      <c r="C43" s="200" t="s">
        <v>442</v>
      </c>
      <c r="D43" s="77">
        <v>27</v>
      </c>
      <c r="E43" s="83">
        <v>23</v>
      </c>
      <c r="F43" s="96">
        <f t="shared" si="1"/>
        <v>50</v>
      </c>
      <c r="G43" s="106">
        <f>ROUND(AVERAGE(5-4*(F43)/(F9)),1)</f>
        <v>3</v>
      </c>
      <c r="H43" s="108">
        <f t="shared" si="29"/>
        <v>0.44999999999999996</v>
      </c>
      <c r="I43" s="87">
        <v>28</v>
      </c>
      <c r="J43" s="305">
        <f t="shared" si="30"/>
        <v>1.3</v>
      </c>
      <c r="K43" s="87">
        <v>35</v>
      </c>
      <c r="L43" s="87">
        <v>31</v>
      </c>
      <c r="M43" s="81">
        <f t="shared" si="4"/>
        <v>66</v>
      </c>
      <c r="N43" s="106">
        <f>ROUND(AVERAGE(5-4*(M43)/(M9)),1)</f>
        <v>2.4</v>
      </c>
      <c r="O43" s="108">
        <f t="shared" si="5"/>
        <v>0.36</v>
      </c>
      <c r="P43" s="306" t="e">
        <f>ROUND(5-4*#REF!/10,1)</f>
        <v>#REF!</v>
      </c>
      <c r="Q43" s="314"/>
      <c r="R43" s="83">
        <v>30</v>
      </c>
      <c r="S43" s="83">
        <v>30</v>
      </c>
      <c r="T43" s="93">
        <f t="shared" si="6"/>
        <v>60</v>
      </c>
      <c r="U43" s="106">
        <f>ROUND(AVERAGE(5-4*(T43)/(T9)),1)</f>
        <v>2.6</v>
      </c>
      <c r="V43" s="108">
        <f t="shared" si="7"/>
        <v>0.39</v>
      </c>
      <c r="W43" s="86">
        <v>80</v>
      </c>
      <c r="X43" s="86">
        <v>85</v>
      </c>
      <c r="Y43" s="96">
        <f t="shared" si="8"/>
        <v>165</v>
      </c>
      <c r="Z43" s="106">
        <f>ROUND(AVERAGE(5-4*(Y43)/(Y9)),1)</f>
        <v>1.7</v>
      </c>
      <c r="AA43" s="105">
        <f t="shared" si="9"/>
        <v>0.255</v>
      </c>
      <c r="AB43" s="101">
        <v>27</v>
      </c>
      <c r="AC43" s="106">
        <f t="shared" si="10"/>
        <v>1</v>
      </c>
      <c r="AD43" s="105">
        <f t="shared" si="11"/>
        <v>0.1</v>
      </c>
      <c r="AE43" s="86">
        <v>39</v>
      </c>
      <c r="AF43" s="211">
        <f t="shared" si="27"/>
        <v>3.4</v>
      </c>
      <c r="AG43" s="108">
        <f t="shared" si="12"/>
        <v>1.02</v>
      </c>
      <c r="AH43" s="81">
        <v>14</v>
      </c>
      <c r="AI43" s="81">
        <v>46</v>
      </c>
      <c r="AJ43" s="96">
        <f t="shared" si="13"/>
        <v>60</v>
      </c>
      <c r="AK43" s="106">
        <f>ROUND(AVERAGE(5-4*(AJ43)/(AJ9)),1)</f>
        <v>2.6</v>
      </c>
      <c r="AL43" s="108">
        <f t="shared" si="14"/>
        <v>0.39</v>
      </c>
      <c r="AM43" s="81">
        <v>38</v>
      </c>
      <c r="AN43" s="81">
        <v>40</v>
      </c>
      <c r="AO43" s="96">
        <f t="shared" si="26"/>
        <v>78</v>
      </c>
      <c r="AP43" s="148">
        <f>ROUND(AVERAGE(5-4*(AO43)/(AO9)),1)</f>
        <v>1.9</v>
      </c>
      <c r="AQ43" s="149">
        <f t="shared" si="16"/>
        <v>0.28499999999999998</v>
      </c>
      <c r="AR43" s="81">
        <v>38</v>
      </c>
      <c r="AS43" s="81">
        <v>40</v>
      </c>
      <c r="AT43" s="93">
        <f t="shared" si="17"/>
        <v>78</v>
      </c>
      <c r="AU43" s="148">
        <f>ROUND(AVERAGE(5-4*(AT43)/(AT9)),1)</f>
        <v>1.9</v>
      </c>
      <c r="AV43" s="214">
        <f t="shared" si="28"/>
        <v>0.28499999999999998</v>
      </c>
      <c r="AW43" s="81">
        <v>100</v>
      </c>
      <c r="AX43" s="81">
        <v>100</v>
      </c>
      <c r="AY43" s="81">
        <v>100</v>
      </c>
      <c r="AZ43" s="81">
        <f t="shared" si="19"/>
        <v>300</v>
      </c>
      <c r="BA43" s="148">
        <f>ROUND(AVERAGE(5-4*(AZ43)/(AZ9)), 1)</f>
        <v>1</v>
      </c>
      <c r="BB43" s="149">
        <f t="shared" si="20"/>
        <v>0.15</v>
      </c>
      <c r="BC43" s="81">
        <v>27</v>
      </c>
      <c r="BD43" s="148">
        <f>5-(4*BC43/BC9)</f>
        <v>1</v>
      </c>
      <c r="BE43" s="158">
        <f t="shared" si="21"/>
        <v>0.1</v>
      </c>
      <c r="BF43" s="81">
        <v>34</v>
      </c>
      <c r="BG43" s="148">
        <f>ROUND(AVERAGE(5-4*(BF43)/(BF9)),1)</f>
        <v>3.1</v>
      </c>
      <c r="BH43" s="149">
        <f t="shared" si="22"/>
        <v>0.92999999999999994</v>
      </c>
      <c r="BI43" s="165">
        <f t="shared" si="23"/>
        <v>2.5750000000000002</v>
      </c>
      <c r="BJ43" s="165">
        <f t="shared" si="24"/>
        <v>2.1399999999999997</v>
      </c>
      <c r="BK43" s="165">
        <v>2.2999999999999998</v>
      </c>
      <c r="BL43" s="81" t="s">
        <v>91</v>
      </c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</row>
    <row r="44" spans="1:81" s="20" customFormat="1" ht="10.199999999999999" customHeight="1" x14ac:dyDescent="0.3">
      <c r="A44" s="174"/>
      <c r="B44" s="164"/>
      <c r="C44" s="326" t="s">
        <v>55</v>
      </c>
      <c r="D44" s="352"/>
      <c r="E44" s="353"/>
      <c r="F44" s="352"/>
      <c r="G44" s="353"/>
      <c r="H44" s="354"/>
      <c r="I44" s="353"/>
      <c r="J44" s="352"/>
      <c r="K44" s="353"/>
      <c r="L44" s="355"/>
      <c r="M44" s="356"/>
      <c r="N44" s="353"/>
      <c r="O44" s="357"/>
      <c r="P44" s="317"/>
      <c r="Q44" s="353"/>
      <c r="R44" s="358"/>
      <c r="S44" s="353"/>
      <c r="T44" s="358"/>
      <c r="U44" s="67"/>
      <c r="V44" s="68"/>
      <c r="W44" s="175"/>
      <c r="X44" s="175"/>
      <c r="Y44" s="175"/>
      <c r="Z44" s="177"/>
      <c r="AA44" s="67"/>
      <c r="AB44" s="178"/>
      <c r="AC44" s="67"/>
      <c r="AD44" s="178"/>
      <c r="AE44" s="67"/>
      <c r="AF44" s="68"/>
      <c r="AG44" s="175"/>
      <c r="AH44" s="67"/>
      <c r="AI44" s="175"/>
      <c r="AJ44" s="179"/>
      <c r="AK44" s="67"/>
      <c r="AL44" s="180"/>
      <c r="AM44" s="181"/>
      <c r="AN44" s="179"/>
      <c r="AO44" s="179"/>
      <c r="AP44" s="176"/>
      <c r="AQ44" s="176"/>
      <c r="AR44" s="179"/>
      <c r="AS44" s="179"/>
      <c r="AT44" s="176"/>
      <c r="AU44" s="176"/>
      <c r="AV44" s="176"/>
      <c r="AW44" s="176"/>
      <c r="AX44" s="176"/>
      <c r="AY44" s="176"/>
      <c r="AZ44" s="176"/>
      <c r="BA44" s="176"/>
      <c r="BB44" s="176"/>
      <c r="BC44" s="176"/>
      <c r="BD44" s="176"/>
      <c r="BE44" s="182"/>
      <c r="BF44" s="176"/>
      <c r="BG44" s="176"/>
      <c r="BH44" s="176"/>
      <c r="BI44" s="176"/>
      <c r="BJ44" s="176"/>
      <c r="BK44" s="176"/>
      <c r="BL44" s="176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</row>
    <row r="45" spans="1:81" s="20" customFormat="1" ht="10.199999999999999" customHeight="1" x14ac:dyDescent="0.3">
      <c r="A45" s="498"/>
      <c r="B45" s="499"/>
      <c r="C45" s="500"/>
      <c r="D45" s="501"/>
      <c r="E45" s="502"/>
      <c r="F45" s="501"/>
      <c r="G45" s="502"/>
      <c r="H45" s="503"/>
      <c r="I45" s="502"/>
      <c r="J45" s="501"/>
      <c r="K45" s="502"/>
      <c r="L45" s="504"/>
      <c r="M45" s="505"/>
      <c r="N45" s="502"/>
      <c r="O45" s="506"/>
      <c r="P45" s="317"/>
      <c r="Q45" s="502"/>
      <c r="R45" s="507"/>
      <c r="S45" s="502"/>
      <c r="T45" s="507"/>
      <c r="U45" s="508"/>
      <c r="V45" s="509"/>
      <c r="W45" s="510"/>
      <c r="X45" s="510"/>
      <c r="Y45" s="510"/>
      <c r="Z45" s="511"/>
      <c r="AA45" s="508"/>
      <c r="AB45" s="512"/>
      <c r="AC45" s="508"/>
      <c r="AD45" s="512"/>
      <c r="AE45" s="508"/>
      <c r="AF45" s="509"/>
      <c r="AG45" s="510"/>
      <c r="AH45" s="508"/>
      <c r="AI45" s="510"/>
      <c r="AJ45" s="513"/>
      <c r="AK45" s="508"/>
      <c r="AL45" s="514"/>
      <c r="AM45" s="515"/>
      <c r="AN45" s="513"/>
      <c r="AO45" s="513"/>
      <c r="AP45" s="474"/>
      <c r="AQ45" s="474"/>
      <c r="AR45" s="513"/>
      <c r="AS45" s="513"/>
      <c r="AT45" s="474"/>
      <c r="AU45" s="474"/>
      <c r="AV45" s="474"/>
      <c r="AW45" s="474"/>
      <c r="AX45" s="474"/>
      <c r="AY45" s="474"/>
      <c r="AZ45" s="474"/>
      <c r="BA45" s="474"/>
      <c r="BB45" s="474"/>
      <c r="BC45" s="474"/>
      <c r="BD45" s="474"/>
      <c r="BE45" s="474"/>
      <c r="BF45" s="474"/>
      <c r="BG45" s="474"/>
      <c r="BH45" s="474"/>
      <c r="BI45" s="474"/>
      <c r="BJ45" s="474"/>
      <c r="BK45" s="474"/>
      <c r="BL45" s="474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</row>
    <row r="46" spans="1:81" s="20" customFormat="1" ht="10.199999999999999" customHeight="1" x14ac:dyDescent="0.3">
      <c r="A46" s="498"/>
      <c r="B46" s="499"/>
      <c r="C46" s="500"/>
      <c r="D46" s="501"/>
      <c r="E46" s="502"/>
      <c r="F46" s="501"/>
      <c r="G46" s="502"/>
      <c r="H46" s="503"/>
      <c r="I46" s="502"/>
      <c r="J46" s="501"/>
      <c r="K46" s="502"/>
      <c r="L46" s="504"/>
      <c r="M46" s="505"/>
      <c r="N46" s="502"/>
      <c r="O46" s="506"/>
      <c r="P46" s="317"/>
      <c r="Q46" s="502"/>
      <c r="R46" s="507"/>
      <c r="S46" s="502"/>
      <c r="T46" s="507"/>
      <c r="U46" s="508"/>
      <c r="V46" s="509"/>
      <c r="W46" s="510"/>
      <c r="X46" s="510"/>
      <c r="Y46" s="510"/>
      <c r="Z46" s="511"/>
      <c r="AA46" s="508"/>
      <c r="AB46" s="512"/>
      <c r="AC46" s="508"/>
      <c r="AD46" s="512"/>
      <c r="AE46" s="508"/>
      <c r="AF46" s="509"/>
      <c r="AG46" s="510"/>
      <c r="AH46" s="508"/>
      <c r="AI46" s="510"/>
      <c r="AJ46" s="513"/>
      <c r="AK46" s="508"/>
      <c r="AL46" s="514"/>
      <c r="AM46" s="515"/>
      <c r="AN46" s="513"/>
      <c r="AO46" s="513"/>
      <c r="AP46" s="474"/>
      <c r="AQ46" s="474"/>
      <c r="AR46" s="513"/>
      <c r="AS46" s="513"/>
      <c r="AT46" s="474"/>
      <c r="AU46" s="474"/>
      <c r="AV46" s="474"/>
      <c r="AW46" s="474"/>
      <c r="AX46" s="474"/>
      <c r="AY46" s="474"/>
      <c r="AZ46" s="474"/>
      <c r="BA46" s="474"/>
      <c r="BB46" s="474"/>
      <c r="BC46" s="474"/>
      <c r="BD46" s="474"/>
      <c r="BE46" s="474"/>
      <c r="BF46" s="474"/>
      <c r="BG46" s="474"/>
      <c r="BH46" s="474"/>
      <c r="BI46" s="474"/>
      <c r="BJ46" s="474"/>
      <c r="BK46" s="474"/>
      <c r="BL46" s="474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</row>
    <row r="47" spans="1:81" s="20" customFormat="1" ht="15" hidden="1" customHeight="1" x14ac:dyDescent="0.3">
      <c r="A47" s="691"/>
      <c r="B47" s="691"/>
      <c r="C47"/>
      <c r="D47"/>
      <c r="E47"/>
      <c r="F47"/>
      <c r="G47"/>
      <c r="H47"/>
      <c r="I47"/>
      <c r="J47"/>
      <c r="K47" s="23"/>
      <c r="L47"/>
      <c r="M47" s="23"/>
      <c r="N47"/>
      <c r="O47"/>
      <c r="P47"/>
      <c r="Q47"/>
      <c r="R47"/>
      <c r="S47"/>
      <c r="T47"/>
      <c r="U47"/>
      <c r="V47" s="66"/>
      <c r="W47"/>
      <c r="X47"/>
      <c r="Y47"/>
      <c r="Z47" s="675"/>
      <c r="AA47" s="675"/>
      <c r="AB47" s="675"/>
      <c r="AC47" s="675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 s="493"/>
      <c r="AR47" s="493"/>
      <c r="AS47" s="493"/>
      <c r="AT47" s="493"/>
      <c r="AU47" s="493"/>
      <c r="AV47" s="493"/>
      <c r="AW47" s="493"/>
      <c r="AX47" s="493"/>
      <c r="AY47" s="493"/>
      <c r="AZ47" s="493"/>
      <c r="BA47" s="493"/>
      <c r="BB47" s="493"/>
      <c r="BC47" s="493"/>
      <c r="BD47" s="493"/>
      <c r="BE47" s="493"/>
      <c r="BF47" s="493"/>
      <c r="BG47" s="493"/>
      <c r="BH47" s="493"/>
      <c r="BI47" s="493"/>
      <c r="BJ47" s="493"/>
      <c r="BK47" s="493"/>
      <c r="BL47" s="493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</row>
    <row r="48" spans="1:81" s="20" customFormat="1" ht="17.25" customHeight="1" x14ac:dyDescent="0.3">
      <c r="A48"/>
      <c r="B48" s="557" t="s">
        <v>60</v>
      </c>
      <c r="C48" s="557"/>
      <c r="D48" s="557"/>
      <c r="E48" s="557"/>
      <c r="F48" s="557"/>
      <c r="G48"/>
      <c r="H48"/>
      <c r="I48"/>
      <c r="J48"/>
      <c r="K48" s="23"/>
      <c r="L48"/>
      <c r="M48" s="23"/>
      <c r="N48"/>
      <c r="O48"/>
      <c r="P48"/>
      <c r="Q48"/>
      <c r="R48"/>
      <c r="S48"/>
      <c r="T48"/>
      <c r="U48"/>
      <c r="V48"/>
      <c r="W48"/>
      <c r="X48"/>
      <c r="Y48"/>
      <c r="Z48" s="104"/>
      <c r="AA48" s="104"/>
      <c r="AB48" s="104"/>
      <c r="AC48" s="104"/>
      <c r="AD48" s="104"/>
      <c r="AE48" s="104"/>
      <c r="AF48" s="104"/>
      <c r="AG48" s="104"/>
      <c r="AH48" s="104"/>
      <c r="AI48" s="104"/>
      <c r="AJ48" s="558" t="s">
        <v>18</v>
      </c>
      <c r="AK48" s="558"/>
      <c r="AL48" s="558"/>
      <c r="AM48" s="558"/>
      <c r="AN48" s="558"/>
      <c r="AO48" s="558"/>
      <c r="AP48" s="558"/>
      <c r="AQ48" s="46"/>
      <c r="AR48" s="46"/>
      <c r="AS48" s="46"/>
      <c r="AT48" s="46"/>
      <c r="AU48" s="46"/>
      <c r="AV48" s="46"/>
      <c r="AW48" s="46"/>
      <c r="AX48" s="46"/>
      <c r="AY48" s="46"/>
      <c r="AZ48" s="46"/>
      <c r="BA48" s="46"/>
      <c r="BB48" s="46"/>
      <c r="BC48" s="46"/>
      <c r="BD48" s="46"/>
      <c r="BE48" s="46"/>
      <c r="BF48" s="46"/>
      <c r="BG48" s="46"/>
      <c r="BH48" s="46"/>
      <c r="BI48" s="46"/>
      <c r="BJ48" s="46"/>
      <c r="BK48" s="46"/>
      <c r="BL48" s="46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</row>
    <row r="49" spans="1:81" s="20" customFormat="1" ht="15" customHeight="1" x14ac:dyDescent="0.3">
      <c r="A49"/>
      <c r="B49"/>
      <c r="C49" s="540" t="s">
        <v>61</v>
      </c>
      <c r="D49" s="540"/>
      <c r="E49" s="540"/>
      <c r="F49" s="540"/>
      <c r="G49" s="540"/>
      <c r="H49" s="540"/>
      <c r="I49" s="540"/>
      <c r="J49" s="540"/>
      <c r="K49" s="540"/>
      <c r="L49" s="540"/>
      <c r="M49" s="540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 s="173"/>
      <c r="AF49" s="173"/>
      <c r="AG49" s="173"/>
      <c r="AH49" s="173"/>
      <c r="AI49" s="173"/>
      <c r="AJ49" s="173"/>
      <c r="AK49" s="173"/>
      <c r="AL49" s="173"/>
      <c r="AM49" s="173"/>
      <c r="AN49" s="540" t="s">
        <v>519</v>
      </c>
      <c r="AO49" s="540"/>
      <c r="AP49" s="540"/>
      <c r="AQ49" s="540"/>
      <c r="AR49" s="540"/>
      <c r="AS49" s="540"/>
      <c r="AT49" s="540"/>
      <c r="AU49" s="540"/>
      <c r="AV49" s="540"/>
      <c r="AW49" s="540"/>
      <c r="AX49" s="540"/>
      <c r="AY49" s="540"/>
      <c r="AZ49" s="46"/>
      <c r="BA49" s="46"/>
      <c r="BB49" s="46"/>
      <c r="BC49" s="46"/>
      <c r="BD49" s="46"/>
      <c r="BE49" s="46"/>
      <c r="BF49" s="46"/>
      <c r="BG49" s="46"/>
      <c r="BH49" s="46"/>
      <c r="BI49" s="46"/>
      <c r="BJ49" s="46"/>
      <c r="BK49" s="46"/>
      <c r="BL49" s="46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</row>
    <row r="50" spans="1:81" s="20" customFormat="1" ht="15" customHeight="1" x14ac:dyDescent="0.3">
      <c r="A50"/>
      <c r="B50"/>
      <c r="C50" s="541" t="s">
        <v>50</v>
      </c>
      <c r="D50" s="541"/>
      <c r="E50" s="541"/>
      <c r="F50" s="541"/>
      <c r="G50" s="541"/>
      <c r="H50" s="541"/>
      <c r="I50" s="541"/>
      <c r="J50" s="541"/>
      <c r="K50" s="541"/>
      <c r="L50" s="23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 s="542" t="s">
        <v>52</v>
      </c>
      <c r="AP50" s="542"/>
      <c r="AQ50" s="542"/>
      <c r="AR50" s="542"/>
      <c r="AS50" s="542"/>
      <c r="AT50" s="542"/>
      <c r="AU50" s="542"/>
      <c r="AV50" s="542"/>
      <c r="AW50" s="542"/>
      <c r="AX50" s="542"/>
      <c r="AY50" s="46"/>
      <c r="AZ50" s="46"/>
      <c r="BA50" s="46"/>
      <c r="BB50" s="46"/>
      <c r="BC50" s="46"/>
      <c r="BD50" s="46"/>
      <c r="BE50" s="46"/>
      <c r="BF50" s="46"/>
      <c r="BG50" s="46"/>
      <c r="BH50" s="46"/>
      <c r="BI50" s="46"/>
      <c r="BJ50" s="46"/>
      <c r="BK50" s="46"/>
      <c r="BL50" s="46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</row>
    <row r="51" spans="1:81" s="20" customFormat="1" ht="15.75" customHeight="1" x14ac:dyDescent="0.3">
      <c r="A51"/>
      <c r="B51"/>
      <c r="C51"/>
      <c r="D51"/>
      <c r="E51"/>
      <c r="F51"/>
      <c r="G51"/>
      <c r="H51"/>
      <c r="I51"/>
      <c r="J51"/>
      <c r="K51"/>
      <c r="L51" s="23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46"/>
      <c r="BC51" s="46"/>
      <c r="BD51" s="46"/>
      <c r="BE51" s="46"/>
      <c r="BF51" s="46"/>
      <c r="BG51" s="46"/>
      <c r="BH51" s="46"/>
      <c r="BI51" s="46"/>
      <c r="BJ51" s="46"/>
      <c r="BK51" s="46"/>
      <c r="BL51" s="46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</row>
    <row r="52" spans="1:81" s="20" customFormat="1" ht="13.5" customHeight="1" x14ac:dyDescent="0.3">
      <c r="A52"/>
      <c r="B52"/>
      <c r="C52"/>
      <c r="D52"/>
      <c r="E52"/>
      <c r="F52"/>
      <c r="G52"/>
      <c r="H52"/>
      <c r="I52"/>
      <c r="J52"/>
      <c r="K52"/>
      <c r="L52" s="23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6"/>
      <c r="BD52" s="46"/>
      <c r="BE52" s="46"/>
      <c r="BF52" s="46"/>
      <c r="BG52" s="46"/>
      <c r="BH52" s="46"/>
      <c r="BI52" s="46"/>
      <c r="BJ52" s="46"/>
      <c r="BK52" s="46"/>
      <c r="BL52" s="46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</row>
    <row r="54" spans="1:81" ht="12.75" customHeight="1" x14ac:dyDescent="0.3"/>
  </sheetData>
  <mergeCells count="69">
    <mergeCell ref="B48:F48"/>
    <mergeCell ref="AJ48:AP48"/>
    <mergeCell ref="C49:M49"/>
    <mergeCell ref="AN49:AY49"/>
    <mergeCell ref="C50:K50"/>
    <mergeCell ref="AO50:AX50"/>
    <mergeCell ref="A47:B47"/>
    <mergeCell ref="U8:U9"/>
    <mergeCell ref="A7:A9"/>
    <mergeCell ref="B7:B9"/>
    <mergeCell ref="C7:C9"/>
    <mergeCell ref="J7:P7"/>
    <mergeCell ref="I8:J8"/>
    <mergeCell ref="N8:N9"/>
    <mergeCell ref="O8:O9"/>
    <mergeCell ref="R8:S8"/>
    <mergeCell ref="D7:H7"/>
    <mergeCell ref="G8:G9"/>
    <mergeCell ref="H8:H9"/>
    <mergeCell ref="Q7:AD7"/>
    <mergeCell ref="Z8:Z9"/>
    <mergeCell ref="AC8:AC9"/>
    <mergeCell ref="Z47:AC47"/>
    <mergeCell ref="AX2:BH2"/>
    <mergeCell ref="AX3:BH3"/>
    <mergeCell ref="AX4:BH4"/>
    <mergeCell ref="AX5:BH5"/>
    <mergeCell ref="I3:Z3"/>
    <mergeCell ref="I2:Z2"/>
    <mergeCell ref="I4:Z4"/>
    <mergeCell ref="I5:Z5"/>
    <mergeCell ref="AG8:AG9"/>
    <mergeCell ref="AD8:AD9"/>
    <mergeCell ref="AA8:AA9"/>
    <mergeCell ref="V8:V9"/>
    <mergeCell ref="W8:X8"/>
    <mergeCell ref="AE7:AG7"/>
    <mergeCell ref="AH7:AL7"/>
    <mergeCell ref="AF8:AF9"/>
    <mergeCell ref="BB8:BB9"/>
    <mergeCell ref="AR7:BE7"/>
    <mergeCell ref="BD8:BD9"/>
    <mergeCell ref="BE8:BE9"/>
    <mergeCell ref="AR8:AS8"/>
    <mergeCell ref="AU8:AU9"/>
    <mergeCell ref="AV8:AV9"/>
    <mergeCell ref="AW8:AX8"/>
    <mergeCell ref="BA8:BA9"/>
    <mergeCell ref="AK8:AK9"/>
    <mergeCell ref="AL8:AL9"/>
    <mergeCell ref="AM7:AQ7"/>
    <mergeCell ref="AP8:AP9"/>
    <mergeCell ref="AQ8:AQ9"/>
    <mergeCell ref="BI7:BI9"/>
    <mergeCell ref="BJ7:BJ9"/>
    <mergeCell ref="BK7:BK9"/>
    <mergeCell ref="BL7:BL9"/>
    <mergeCell ref="BF7:BH7"/>
    <mergeCell ref="BG8:BG9"/>
    <mergeCell ref="BH8:BH9"/>
    <mergeCell ref="A1:BL1"/>
    <mergeCell ref="AR2:AW2"/>
    <mergeCell ref="AR3:AW3"/>
    <mergeCell ref="AR4:AW4"/>
    <mergeCell ref="AR5:AW5"/>
    <mergeCell ref="D2:H2"/>
    <mergeCell ref="D3:H3"/>
    <mergeCell ref="D4:H4"/>
    <mergeCell ref="D5:H5"/>
  </mergeCells>
  <phoneticPr fontId="21" type="noConversion"/>
  <pageMargins left="0.23622047244094491" right="0.23622047244094491" top="0.55118110236220474" bottom="0.55118110236220474" header="0.31496062992125984" footer="0.31496062992125984"/>
  <pageSetup paperSize="14" scale="74" fitToHeight="0" orientation="landscape" horizontalDpi="4294967292" verticalDpi="4294967292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0.39997558519241921"/>
  </sheetPr>
  <dimension ref="A1:M117"/>
  <sheetViews>
    <sheetView zoomScale="120" zoomScaleNormal="120" zoomScaleSheetLayoutView="145" zoomScalePageLayoutView="106" workbookViewId="0">
      <selection activeCell="N14" sqref="N14"/>
    </sheetView>
  </sheetViews>
  <sheetFormatPr defaultColWidth="8.88671875" defaultRowHeight="14.4" x14ac:dyDescent="0.3"/>
  <cols>
    <col min="1" max="1" width="4.44140625" customWidth="1"/>
    <col min="2" max="2" width="14" customWidth="1"/>
    <col min="3" max="3" width="30" customWidth="1"/>
    <col min="4" max="4" width="7.109375" customWidth="1"/>
    <col min="5" max="5" width="7.44140625" customWidth="1"/>
    <col min="6" max="6" width="7.44140625" hidden="1" customWidth="1"/>
    <col min="7" max="7" width="6.21875" customWidth="1"/>
    <col min="8" max="8" width="6.6640625" customWidth="1"/>
    <col min="9" max="9" width="7.21875" customWidth="1"/>
    <col min="10" max="10" width="9.44140625" style="9" customWidth="1"/>
    <col min="11" max="11" width="15.44140625" customWidth="1"/>
  </cols>
  <sheetData>
    <row r="1" spans="1:11" ht="14.25" customHeight="1" x14ac:dyDescent="0.3">
      <c r="B1" s="1" t="s">
        <v>39</v>
      </c>
    </row>
    <row r="2" spans="1:11" ht="13.5" customHeight="1" x14ac:dyDescent="0.3">
      <c r="B2" s="2" t="s">
        <v>48</v>
      </c>
    </row>
    <row r="3" spans="1:11" ht="14.25" customHeight="1" x14ac:dyDescent="0.3">
      <c r="B3" s="1" t="s">
        <v>38</v>
      </c>
    </row>
    <row r="4" spans="1:11" ht="5.4" customHeight="1" x14ac:dyDescent="0.3">
      <c r="A4" s="3"/>
      <c r="B4" s="3"/>
      <c r="C4" s="3"/>
      <c r="D4" s="3"/>
      <c r="E4" s="3"/>
      <c r="F4" s="3"/>
      <c r="G4" s="3"/>
      <c r="H4" s="3"/>
      <c r="I4" s="3"/>
      <c r="J4" s="32"/>
      <c r="K4" s="3"/>
    </row>
    <row r="5" spans="1:11" ht="13.8" customHeight="1" x14ac:dyDescent="0.3">
      <c r="A5" s="55" t="s">
        <v>53</v>
      </c>
      <c r="B5" s="52"/>
      <c r="C5" s="52"/>
      <c r="D5" s="52"/>
      <c r="E5" s="52"/>
      <c r="F5" s="52"/>
      <c r="G5" s="52"/>
      <c r="H5" s="52"/>
      <c r="I5" s="52"/>
      <c r="J5" s="56"/>
      <c r="K5" s="52"/>
    </row>
    <row r="6" spans="1:11" ht="3" customHeight="1" x14ac:dyDescent="0.3">
      <c r="A6" s="55"/>
      <c r="B6" s="52"/>
      <c r="C6" s="52"/>
      <c r="D6" s="52"/>
      <c r="E6" s="52"/>
      <c r="F6" s="52"/>
      <c r="G6" s="52"/>
      <c r="H6" s="52"/>
      <c r="I6" s="52"/>
      <c r="J6" s="56"/>
      <c r="K6" s="52"/>
    </row>
    <row r="7" spans="1:11" ht="12" customHeight="1" x14ac:dyDescent="0.3">
      <c r="A7" s="693" t="s">
        <v>0</v>
      </c>
      <c r="B7" s="693"/>
      <c r="C7" s="693"/>
      <c r="D7" s="693"/>
      <c r="E7" s="693"/>
      <c r="F7" s="693"/>
      <c r="G7" s="693"/>
      <c r="H7" s="693"/>
      <c r="I7" s="693"/>
      <c r="J7" s="693"/>
      <c r="K7" s="693"/>
    </row>
    <row r="8" spans="1:11" ht="11.4" customHeight="1" x14ac:dyDescent="0.3">
      <c r="A8" s="533" t="s">
        <v>313</v>
      </c>
      <c r="B8" s="533"/>
      <c r="C8" s="533"/>
      <c r="D8" s="533"/>
      <c r="E8" s="533"/>
      <c r="F8" s="533"/>
      <c r="G8" s="533"/>
      <c r="H8" s="533"/>
      <c r="I8" s="533"/>
      <c r="J8" s="533"/>
      <c r="K8" s="533"/>
    </row>
    <row r="9" spans="1:11" ht="13.8" customHeight="1" x14ac:dyDescent="0.3">
      <c r="A9" s="533" t="s">
        <v>314</v>
      </c>
      <c r="B9" s="533"/>
      <c r="C9" s="533"/>
      <c r="D9" s="533"/>
      <c r="E9" s="533"/>
      <c r="F9" s="533"/>
      <c r="G9" s="533"/>
      <c r="H9" s="533"/>
      <c r="I9" s="533"/>
      <c r="J9" s="533"/>
      <c r="K9" s="533"/>
    </row>
    <row r="10" spans="1:11" ht="2.1" customHeight="1" x14ac:dyDescent="0.3">
      <c r="A10" s="13"/>
      <c r="B10" s="13"/>
      <c r="C10" s="13"/>
      <c r="D10" s="13"/>
      <c r="E10" s="13"/>
      <c r="F10" s="13"/>
      <c r="G10" s="13"/>
      <c r="H10" s="13"/>
      <c r="I10" s="13"/>
      <c r="J10" s="15"/>
      <c r="K10" s="13"/>
    </row>
    <row r="11" spans="1:11" ht="13.8" customHeight="1" x14ac:dyDescent="0.3">
      <c r="A11" s="13" t="s">
        <v>43</v>
      </c>
      <c r="B11" s="52"/>
      <c r="C11" s="53" t="s">
        <v>63</v>
      </c>
      <c r="D11" s="38"/>
      <c r="E11" s="38"/>
      <c r="F11" s="13"/>
      <c r="H11" s="57" t="s">
        <v>1</v>
      </c>
      <c r="I11" s="52"/>
      <c r="J11" s="56"/>
      <c r="K11" s="524">
        <v>58</v>
      </c>
    </row>
    <row r="12" spans="1:11" ht="13.2" customHeight="1" x14ac:dyDescent="0.3">
      <c r="A12" s="13" t="s">
        <v>44</v>
      </c>
      <c r="B12" s="52"/>
      <c r="C12" s="278" t="s">
        <v>64</v>
      </c>
      <c r="D12" s="38"/>
      <c r="E12" s="38"/>
      <c r="F12" s="13"/>
      <c r="H12" s="52" t="s">
        <v>2</v>
      </c>
      <c r="I12" s="52"/>
      <c r="J12" s="56"/>
      <c r="K12" s="56"/>
    </row>
    <row r="13" spans="1:11" ht="11.4" customHeight="1" x14ac:dyDescent="0.3">
      <c r="A13" s="13" t="s">
        <v>45</v>
      </c>
      <c r="B13" s="52"/>
      <c r="C13" s="279" t="s">
        <v>480</v>
      </c>
      <c r="D13" s="39"/>
      <c r="E13" s="39"/>
      <c r="F13" s="13"/>
      <c r="H13" s="52"/>
      <c r="I13" s="282" t="s">
        <v>3</v>
      </c>
      <c r="J13" s="56"/>
      <c r="K13" s="426">
        <v>0</v>
      </c>
    </row>
    <row r="14" spans="1:11" ht="10.8" customHeight="1" x14ac:dyDescent="0.3">
      <c r="A14" s="13" t="s">
        <v>46</v>
      </c>
      <c r="B14" s="52"/>
      <c r="C14" s="477" t="s">
        <v>80</v>
      </c>
      <c r="D14" s="39"/>
      <c r="E14" s="39"/>
      <c r="F14" s="13"/>
      <c r="H14" s="52"/>
      <c r="I14" s="282" t="s">
        <v>4</v>
      </c>
      <c r="J14" s="56"/>
      <c r="K14" s="277">
        <v>0</v>
      </c>
    </row>
    <row r="15" spans="1:11" ht="12" customHeight="1" x14ac:dyDescent="0.3">
      <c r="A15" s="13" t="s">
        <v>47</v>
      </c>
      <c r="B15" s="52"/>
      <c r="C15" s="279" t="s">
        <v>481</v>
      </c>
      <c r="D15" s="39"/>
      <c r="E15" s="39"/>
      <c r="F15" s="13"/>
      <c r="H15" s="52"/>
      <c r="I15" s="282" t="s">
        <v>5</v>
      </c>
      <c r="J15" s="56"/>
      <c r="K15" s="426">
        <v>0</v>
      </c>
    </row>
    <row r="16" spans="1:11" ht="11.4" customHeight="1" x14ac:dyDescent="0.3">
      <c r="A16" s="13"/>
      <c r="B16" s="13"/>
      <c r="C16" s="13"/>
      <c r="D16" s="13"/>
      <c r="E16" s="13"/>
      <c r="F16" s="13"/>
      <c r="H16" s="52"/>
      <c r="I16" s="282" t="s">
        <v>6</v>
      </c>
      <c r="J16" s="56"/>
      <c r="K16" s="426">
        <v>5</v>
      </c>
    </row>
    <row r="17" spans="1:13" ht="10.199999999999999" customHeight="1" x14ac:dyDescent="0.3">
      <c r="A17" s="13"/>
      <c r="B17" s="13"/>
      <c r="C17" s="13"/>
      <c r="D17" s="13"/>
      <c r="E17" s="13"/>
      <c r="F17" s="13"/>
      <c r="H17" s="52"/>
      <c r="I17" s="282" t="s">
        <v>7</v>
      </c>
      <c r="J17" s="56"/>
      <c r="K17" s="172">
        <v>53</v>
      </c>
    </row>
    <row r="18" spans="1:13" ht="4.2" customHeight="1" x14ac:dyDescent="0.3">
      <c r="A18" s="13"/>
      <c r="B18" s="13"/>
      <c r="C18" s="13"/>
      <c r="D18" s="13"/>
      <c r="E18" s="13"/>
      <c r="F18" s="13"/>
      <c r="G18" s="13"/>
      <c r="H18" s="13"/>
      <c r="I18" s="13"/>
      <c r="J18" s="15"/>
      <c r="K18" s="13"/>
    </row>
    <row r="19" spans="1:13" ht="10.8" customHeight="1" x14ac:dyDescent="0.3">
      <c r="A19" s="534" t="s">
        <v>8</v>
      </c>
      <c r="B19" s="535" t="s">
        <v>9</v>
      </c>
      <c r="C19" s="535" t="s">
        <v>51</v>
      </c>
      <c r="D19" s="694" t="s">
        <v>12</v>
      </c>
      <c r="E19" s="694"/>
      <c r="F19" s="694"/>
      <c r="G19" s="694"/>
      <c r="H19" s="637" t="s">
        <v>14</v>
      </c>
      <c r="I19" s="637" t="s">
        <v>13</v>
      </c>
      <c r="J19" s="637" t="s">
        <v>54</v>
      </c>
      <c r="K19" s="637" t="s">
        <v>16</v>
      </c>
    </row>
    <row r="20" spans="1:13" ht="22.8" x14ac:dyDescent="0.3">
      <c r="A20" s="534"/>
      <c r="B20" s="535"/>
      <c r="C20" s="535"/>
      <c r="D20" s="378" t="s">
        <v>10</v>
      </c>
      <c r="E20" s="378" t="s">
        <v>15</v>
      </c>
      <c r="F20" s="378"/>
      <c r="G20" s="378" t="s">
        <v>11</v>
      </c>
      <c r="H20" s="637"/>
      <c r="I20" s="637"/>
      <c r="J20" s="637"/>
      <c r="K20" s="637"/>
    </row>
    <row r="21" spans="1:13" ht="9" customHeight="1" x14ac:dyDescent="0.3">
      <c r="A21" s="40"/>
      <c r="B21" s="183"/>
      <c r="C21" s="184" t="s">
        <v>35</v>
      </c>
      <c r="D21" s="485"/>
      <c r="E21" s="485"/>
      <c r="F21" s="12"/>
      <c r="G21" s="12"/>
      <c r="H21" s="12"/>
      <c r="I21" s="12"/>
      <c r="J21" s="12"/>
      <c r="K21" s="11"/>
    </row>
    <row r="22" spans="1:13" ht="10.199999999999999" customHeight="1" x14ac:dyDescent="0.3">
      <c r="A22" s="382">
        <v>1</v>
      </c>
      <c r="B22" s="522" t="s">
        <v>473</v>
      </c>
      <c r="C22" s="479" t="s">
        <v>474</v>
      </c>
      <c r="D22" s="443">
        <v>2.8</v>
      </c>
      <c r="E22" s="443">
        <v>2.4</v>
      </c>
      <c r="F22" s="480"/>
      <c r="G22" s="486">
        <f t="shared" ref="G22" si="0">(D22+E22)/2</f>
        <v>2.5999999999999996</v>
      </c>
      <c r="H22" s="488"/>
      <c r="I22" s="523">
        <v>3</v>
      </c>
      <c r="J22" s="523">
        <v>48</v>
      </c>
      <c r="K22" s="523" t="s">
        <v>91</v>
      </c>
    </row>
    <row r="23" spans="1:13" ht="10.199999999999999" customHeight="1" x14ac:dyDescent="0.3">
      <c r="A23" s="381">
        <v>2</v>
      </c>
      <c r="B23" s="377" t="s">
        <v>319</v>
      </c>
      <c r="C23" s="438" t="s">
        <v>320</v>
      </c>
      <c r="D23" s="443">
        <v>2.9</v>
      </c>
      <c r="E23" s="443">
        <v>1.8</v>
      </c>
      <c r="F23" s="480"/>
      <c r="G23" s="486">
        <v>2.2999999999999998</v>
      </c>
      <c r="H23" s="433"/>
      <c r="I23" s="425">
        <v>3</v>
      </c>
      <c r="J23" s="425">
        <v>49.5</v>
      </c>
      <c r="K23" s="425" t="s">
        <v>91</v>
      </c>
      <c r="M23" s="470"/>
    </row>
    <row r="24" spans="1:13" ht="10.199999999999999" customHeight="1" x14ac:dyDescent="0.3">
      <c r="A24" s="380">
        <v>3</v>
      </c>
      <c r="B24" s="377" t="s">
        <v>321</v>
      </c>
      <c r="C24" s="438" t="s">
        <v>322</v>
      </c>
      <c r="D24" s="467">
        <v>3</v>
      </c>
      <c r="E24" s="443">
        <v>2.5</v>
      </c>
      <c r="F24" s="480"/>
      <c r="G24" s="486">
        <v>2.7</v>
      </c>
      <c r="H24" s="488"/>
      <c r="I24" s="425">
        <v>3</v>
      </c>
      <c r="J24" s="425">
        <v>54</v>
      </c>
      <c r="K24" s="425" t="s">
        <v>91</v>
      </c>
    </row>
    <row r="25" spans="1:13" ht="9.6" customHeight="1" x14ac:dyDescent="0.3">
      <c r="A25" s="380">
        <v>4</v>
      </c>
      <c r="B25" s="377" t="s">
        <v>323</v>
      </c>
      <c r="C25" s="438" t="s">
        <v>324</v>
      </c>
      <c r="D25" s="443">
        <v>2.7</v>
      </c>
      <c r="E25" s="443">
        <v>2.9</v>
      </c>
      <c r="F25" s="480"/>
      <c r="G25" s="486">
        <f t="shared" ref="G25:G78" si="1">(D25+E25)/2</f>
        <v>2.8</v>
      </c>
      <c r="H25" s="433"/>
      <c r="I25" s="425">
        <v>3</v>
      </c>
      <c r="J25" s="425">
        <v>46.5</v>
      </c>
      <c r="K25" s="425" t="s">
        <v>91</v>
      </c>
    </row>
    <row r="26" spans="1:13" ht="10.199999999999999" customHeight="1" x14ac:dyDescent="0.3">
      <c r="A26" s="380">
        <v>5</v>
      </c>
      <c r="B26" s="377" t="s">
        <v>325</v>
      </c>
      <c r="C26" s="438" t="s">
        <v>326</v>
      </c>
      <c r="D26" s="443">
        <v>2.8</v>
      </c>
      <c r="E26" s="443">
        <v>2.2999999999999998</v>
      </c>
      <c r="F26" s="480"/>
      <c r="G26" s="486">
        <v>2.5</v>
      </c>
      <c r="H26" s="488"/>
      <c r="I26" s="425">
        <v>3</v>
      </c>
      <c r="J26" s="425">
        <v>51</v>
      </c>
      <c r="K26" s="425" t="s">
        <v>91</v>
      </c>
    </row>
    <row r="27" spans="1:13" ht="10.199999999999999" customHeight="1" x14ac:dyDescent="0.3">
      <c r="A27" s="380">
        <v>6</v>
      </c>
      <c r="B27" s="377" t="s">
        <v>475</v>
      </c>
      <c r="C27" s="438" t="s">
        <v>476</v>
      </c>
      <c r="D27" s="443">
        <v>2.7</v>
      </c>
      <c r="E27" s="443">
        <v>2.2000000000000002</v>
      </c>
      <c r="F27" s="480"/>
      <c r="G27" s="486">
        <v>2.4</v>
      </c>
      <c r="H27" s="433"/>
      <c r="I27" s="425">
        <v>3</v>
      </c>
      <c r="J27" s="425">
        <v>49.5</v>
      </c>
      <c r="K27" s="425" t="s">
        <v>91</v>
      </c>
    </row>
    <row r="28" spans="1:13" ht="10.199999999999999" customHeight="1" x14ac:dyDescent="0.3">
      <c r="A28" s="380">
        <v>7</v>
      </c>
      <c r="B28" s="377" t="s">
        <v>327</v>
      </c>
      <c r="C28" s="438" t="s">
        <v>328</v>
      </c>
      <c r="D28" s="443">
        <v>2.8</v>
      </c>
      <c r="E28" s="443">
        <v>2.4</v>
      </c>
      <c r="F28" s="480"/>
      <c r="G28" s="486">
        <f t="shared" si="1"/>
        <v>2.5999999999999996</v>
      </c>
      <c r="H28" s="488"/>
      <c r="I28" s="425">
        <v>3</v>
      </c>
      <c r="J28" s="425">
        <v>54</v>
      </c>
      <c r="K28" s="425" t="s">
        <v>91</v>
      </c>
    </row>
    <row r="29" spans="1:13" ht="10.199999999999999" customHeight="1" x14ac:dyDescent="0.3">
      <c r="A29" s="380">
        <v>8</v>
      </c>
      <c r="B29" s="377" t="s">
        <v>329</v>
      </c>
      <c r="C29" s="438" t="s">
        <v>330</v>
      </c>
      <c r="D29" s="443">
        <v>2.9</v>
      </c>
      <c r="E29" s="443">
        <v>2.8</v>
      </c>
      <c r="F29" s="480"/>
      <c r="G29" s="486">
        <v>2.8</v>
      </c>
      <c r="H29" s="488"/>
      <c r="I29" s="425">
        <v>3</v>
      </c>
      <c r="J29" s="425">
        <v>54</v>
      </c>
      <c r="K29" s="425" t="s">
        <v>91</v>
      </c>
    </row>
    <row r="30" spans="1:13" ht="10.199999999999999" customHeight="1" x14ac:dyDescent="0.3">
      <c r="A30" s="380">
        <v>9</v>
      </c>
      <c r="B30" s="377" t="s">
        <v>331</v>
      </c>
      <c r="C30" s="438" t="s">
        <v>332</v>
      </c>
      <c r="D30" s="443">
        <v>2.5</v>
      </c>
      <c r="E30" s="443">
        <v>2.8</v>
      </c>
      <c r="F30" s="480"/>
      <c r="G30" s="486">
        <v>2.6</v>
      </c>
      <c r="H30" s="488"/>
      <c r="I30" s="425">
        <v>3</v>
      </c>
      <c r="J30" s="425">
        <v>51</v>
      </c>
      <c r="K30" s="425" t="s">
        <v>91</v>
      </c>
    </row>
    <row r="31" spans="1:13" ht="9.6" customHeight="1" x14ac:dyDescent="0.3">
      <c r="A31" s="380">
        <v>10</v>
      </c>
      <c r="B31" s="377" t="s">
        <v>333</v>
      </c>
      <c r="C31" s="438" t="s">
        <v>334</v>
      </c>
      <c r="D31" s="443">
        <v>2.7</v>
      </c>
      <c r="E31" s="443">
        <v>2.6</v>
      </c>
      <c r="F31" s="480"/>
      <c r="G31" s="486">
        <v>2.6</v>
      </c>
      <c r="H31" s="488"/>
      <c r="I31" s="425">
        <v>3</v>
      </c>
      <c r="J31" s="425">
        <v>51</v>
      </c>
      <c r="K31" s="425" t="s">
        <v>91</v>
      </c>
    </row>
    <row r="32" spans="1:13" ht="10.8" customHeight="1" x14ac:dyDescent="0.3">
      <c r="A32" s="380">
        <v>11</v>
      </c>
      <c r="B32" s="377" t="s">
        <v>335</v>
      </c>
      <c r="C32" s="438" t="s">
        <v>336</v>
      </c>
      <c r="D32" s="443">
        <v>2.7</v>
      </c>
      <c r="E32" s="443">
        <v>2.2999999999999998</v>
      </c>
      <c r="F32" s="480"/>
      <c r="G32" s="486">
        <v>2.5</v>
      </c>
      <c r="H32" s="433"/>
      <c r="I32" s="425">
        <v>3</v>
      </c>
      <c r="J32" s="425">
        <v>49.5</v>
      </c>
      <c r="K32" s="425" t="s">
        <v>91</v>
      </c>
    </row>
    <row r="33" spans="1:11" ht="10.199999999999999" customHeight="1" x14ac:dyDescent="0.3">
      <c r="A33" s="380">
        <v>12</v>
      </c>
      <c r="B33" s="377" t="s">
        <v>337</v>
      </c>
      <c r="C33" s="438" t="s">
        <v>338</v>
      </c>
      <c r="D33" s="443">
        <v>2.8</v>
      </c>
      <c r="E33" s="443">
        <v>2.2999999999999998</v>
      </c>
      <c r="F33" s="480"/>
      <c r="G33" s="486">
        <v>2.5</v>
      </c>
      <c r="H33" s="488"/>
      <c r="I33" s="425">
        <v>3</v>
      </c>
      <c r="J33" s="425">
        <v>54</v>
      </c>
      <c r="K33" s="425" t="s">
        <v>91</v>
      </c>
    </row>
    <row r="34" spans="1:11" ht="10.199999999999999" customHeight="1" x14ac:dyDescent="0.3">
      <c r="A34" s="380">
        <v>13</v>
      </c>
      <c r="B34" s="377" t="s">
        <v>339</v>
      </c>
      <c r="C34" s="438" t="s">
        <v>340</v>
      </c>
      <c r="D34" s="443">
        <v>2.8</v>
      </c>
      <c r="E34" s="443">
        <v>2.5</v>
      </c>
      <c r="F34" s="481"/>
      <c r="G34" s="486">
        <v>2.6</v>
      </c>
      <c r="H34" s="488"/>
      <c r="I34" s="425">
        <v>3</v>
      </c>
      <c r="J34" s="61">
        <v>51</v>
      </c>
      <c r="K34" s="425" t="s">
        <v>91</v>
      </c>
    </row>
    <row r="35" spans="1:11" ht="10.199999999999999" customHeight="1" x14ac:dyDescent="0.3">
      <c r="A35" s="380">
        <v>14</v>
      </c>
      <c r="B35" s="377" t="s">
        <v>341</v>
      </c>
      <c r="C35" s="438" t="s">
        <v>342</v>
      </c>
      <c r="D35" s="443">
        <v>2.9</v>
      </c>
      <c r="E35" s="443">
        <v>2.5</v>
      </c>
      <c r="F35" s="481"/>
      <c r="G35" s="486">
        <f t="shared" si="1"/>
        <v>2.7</v>
      </c>
      <c r="H35" s="433"/>
      <c r="I35" s="425">
        <v>3</v>
      </c>
      <c r="J35" s="61">
        <v>52.5</v>
      </c>
      <c r="K35" s="425" t="s">
        <v>91</v>
      </c>
    </row>
    <row r="36" spans="1:11" ht="10.199999999999999" customHeight="1" x14ac:dyDescent="0.3">
      <c r="A36" s="380">
        <v>15</v>
      </c>
      <c r="B36" s="377" t="s">
        <v>343</v>
      </c>
      <c r="C36" s="438" t="s">
        <v>344</v>
      </c>
      <c r="D36" s="443">
        <v>2.5</v>
      </c>
      <c r="E36" s="443">
        <v>2.5</v>
      </c>
      <c r="F36" s="481"/>
      <c r="G36" s="486">
        <f t="shared" si="1"/>
        <v>2.5</v>
      </c>
      <c r="H36" s="433"/>
      <c r="I36" s="425">
        <v>3</v>
      </c>
      <c r="J36" s="61">
        <v>52.5</v>
      </c>
      <c r="K36" s="425" t="s">
        <v>91</v>
      </c>
    </row>
    <row r="37" spans="1:11" ht="10.199999999999999" customHeight="1" x14ac:dyDescent="0.3">
      <c r="A37" s="380">
        <v>16</v>
      </c>
      <c r="B37" s="377" t="s">
        <v>345</v>
      </c>
      <c r="C37" s="438" t="s">
        <v>346</v>
      </c>
      <c r="D37" s="443">
        <v>1.8</v>
      </c>
      <c r="E37" s="443">
        <v>1.8</v>
      </c>
      <c r="F37" s="481"/>
      <c r="G37" s="486">
        <f t="shared" si="1"/>
        <v>1.8</v>
      </c>
      <c r="H37" s="488"/>
      <c r="I37" s="425">
        <v>3</v>
      </c>
      <c r="J37" s="61">
        <v>54</v>
      </c>
      <c r="K37" s="425" t="s">
        <v>91</v>
      </c>
    </row>
    <row r="38" spans="1:11" ht="9.6" customHeight="1" x14ac:dyDescent="0.3">
      <c r="A38" s="380">
        <v>17</v>
      </c>
      <c r="B38" s="377" t="s">
        <v>347</v>
      </c>
      <c r="C38" s="438" t="s">
        <v>348</v>
      </c>
      <c r="D38" s="443">
        <v>2.4</v>
      </c>
      <c r="E38" s="443">
        <v>2.2000000000000002</v>
      </c>
      <c r="F38" s="482"/>
      <c r="G38" s="486">
        <f t="shared" si="1"/>
        <v>2.2999999999999998</v>
      </c>
      <c r="H38" s="488"/>
      <c r="I38" s="425">
        <v>3</v>
      </c>
      <c r="J38" s="61">
        <v>54</v>
      </c>
      <c r="K38" s="425" t="s">
        <v>91</v>
      </c>
    </row>
    <row r="39" spans="1:11" ht="10.199999999999999" customHeight="1" x14ac:dyDescent="0.3">
      <c r="A39" s="380">
        <v>18</v>
      </c>
      <c r="B39" s="377" t="s">
        <v>349</v>
      </c>
      <c r="C39" s="438" t="s">
        <v>350</v>
      </c>
      <c r="D39" s="443">
        <v>2.6</v>
      </c>
      <c r="E39" s="443">
        <v>2.2999999999999998</v>
      </c>
      <c r="F39" s="482"/>
      <c r="G39" s="486">
        <v>2.4</v>
      </c>
      <c r="H39" s="488"/>
      <c r="I39" s="425">
        <v>3</v>
      </c>
      <c r="J39" s="61">
        <v>54</v>
      </c>
      <c r="K39" s="425" t="s">
        <v>91</v>
      </c>
    </row>
    <row r="40" spans="1:11" ht="9.6" customHeight="1" x14ac:dyDescent="0.3">
      <c r="A40" s="380">
        <v>19</v>
      </c>
      <c r="B40" s="377" t="s">
        <v>351</v>
      </c>
      <c r="C40" s="438" t="s">
        <v>352</v>
      </c>
      <c r="D40" s="443">
        <v>2.6</v>
      </c>
      <c r="E40" s="443">
        <v>2.7</v>
      </c>
      <c r="F40" s="482"/>
      <c r="G40" s="486">
        <v>2.6</v>
      </c>
      <c r="H40" s="433"/>
      <c r="I40" s="425">
        <v>3</v>
      </c>
      <c r="J40" s="61">
        <v>49.5</v>
      </c>
      <c r="K40" s="425" t="s">
        <v>91</v>
      </c>
    </row>
    <row r="41" spans="1:11" ht="10.199999999999999" customHeight="1" x14ac:dyDescent="0.3">
      <c r="A41" s="380">
        <v>20</v>
      </c>
      <c r="B41" s="377" t="s">
        <v>353</v>
      </c>
      <c r="C41" s="438" t="s">
        <v>354</v>
      </c>
      <c r="D41" s="443">
        <v>2.9</v>
      </c>
      <c r="E41" s="443">
        <v>2.4</v>
      </c>
      <c r="F41" s="482"/>
      <c r="G41" s="486">
        <v>2.6</v>
      </c>
      <c r="H41" s="433"/>
      <c r="I41" s="425">
        <v>3</v>
      </c>
      <c r="J41" s="61">
        <v>49.5</v>
      </c>
      <c r="K41" s="425" t="s">
        <v>91</v>
      </c>
    </row>
    <row r="42" spans="1:11" ht="10.199999999999999" customHeight="1" x14ac:dyDescent="0.3">
      <c r="A42" s="380">
        <v>21</v>
      </c>
      <c r="B42" s="377" t="s">
        <v>355</v>
      </c>
      <c r="C42" s="438" t="s">
        <v>356</v>
      </c>
      <c r="D42" s="443">
        <v>2.9</v>
      </c>
      <c r="E42" s="443">
        <v>2.6</v>
      </c>
      <c r="F42" s="482"/>
      <c r="G42" s="486">
        <v>2.7</v>
      </c>
      <c r="H42" s="488"/>
      <c r="I42" s="425">
        <v>3</v>
      </c>
      <c r="J42" s="61">
        <v>54</v>
      </c>
      <c r="K42" s="425" t="s">
        <v>91</v>
      </c>
    </row>
    <row r="43" spans="1:11" ht="10.8" customHeight="1" x14ac:dyDescent="0.3">
      <c r="A43" s="380">
        <v>22</v>
      </c>
      <c r="B43" s="377" t="s">
        <v>357</v>
      </c>
      <c r="C43" s="438" t="s">
        <v>358</v>
      </c>
      <c r="D43" s="443">
        <v>2.6</v>
      </c>
      <c r="E43" s="443">
        <v>2.2999999999999998</v>
      </c>
      <c r="F43" s="482"/>
      <c r="G43" s="486">
        <v>2.4</v>
      </c>
      <c r="H43" s="488"/>
      <c r="I43" s="425">
        <v>3</v>
      </c>
      <c r="J43" s="61">
        <v>54</v>
      </c>
      <c r="K43" s="425" t="s">
        <v>91</v>
      </c>
    </row>
    <row r="44" spans="1:11" ht="9.6" customHeight="1" x14ac:dyDescent="0.3">
      <c r="A44" s="380">
        <v>23</v>
      </c>
      <c r="B44" s="377" t="s">
        <v>359</v>
      </c>
      <c r="C44" s="438" t="s">
        <v>360</v>
      </c>
      <c r="D44" s="443">
        <v>2.6</v>
      </c>
      <c r="E44" s="443">
        <v>2.2999999999999998</v>
      </c>
      <c r="F44" s="482"/>
      <c r="G44" s="486">
        <v>2.4</v>
      </c>
      <c r="H44" s="488"/>
      <c r="I44" s="425">
        <v>3</v>
      </c>
      <c r="J44" s="61">
        <v>54</v>
      </c>
      <c r="K44" s="425" t="s">
        <v>91</v>
      </c>
    </row>
    <row r="45" spans="1:11" ht="10.199999999999999" customHeight="1" x14ac:dyDescent="0.3">
      <c r="A45" s="380">
        <v>24</v>
      </c>
      <c r="B45" s="377" t="s">
        <v>361</v>
      </c>
      <c r="C45" s="438" t="s">
        <v>362</v>
      </c>
      <c r="D45" s="443">
        <v>2.8</v>
      </c>
      <c r="E45" s="443">
        <v>2.4</v>
      </c>
      <c r="F45" s="482"/>
      <c r="G45" s="486">
        <f t="shared" si="1"/>
        <v>2.5999999999999996</v>
      </c>
      <c r="H45" s="488"/>
      <c r="I45" s="425">
        <v>3</v>
      </c>
      <c r="J45" s="61">
        <v>54</v>
      </c>
      <c r="K45" s="425" t="s">
        <v>91</v>
      </c>
    </row>
    <row r="46" spans="1:11" ht="10.8" customHeight="1" x14ac:dyDescent="0.3">
      <c r="A46" s="380">
        <v>25</v>
      </c>
      <c r="B46" s="377" t="s">
        <v>363</v>
      </c>
      <c r="C46" s="438" t="s">
        <v>364</v>
      </c>
      <c r="D46" s="443">
        <v>2.9</v>
      </c>
      <c r="E46" s="443">
        <v>2.2999999999999998</v>
      </c>
      <c r="F46" s="482"/>
      <c r="G46" s="486">
        <f t="shared" si="1"/>
        <v>2.5999999999999996</v>
      </c>
      <c r="H46" s="488"/>
      <c r="I46" s="425">
        <v>3</v>
      </c>
      <c r="J46" s="61">
        <v>54</v>
      </c>
      <c r="K46" s="425" t="s">
        <v>91</v>
      </c>
    </row>
    <row r="47" spans="1:11" ht="10.199999999999999" customHeight="1" x14ac:dyDescent="0.3">
      <c r="A47" s="380">
        <v>26</v>
      </c>
      <c r="B47" s="377" t="s">
        <v>365</v>
      </c>
      <c r="C47" s="438" t="s">
        <v>366</v>
      </c>
      <c r="D47" s="443">
        <v>2.5</v>
      </c>
      <c r="E47" s="443">
        <v>2.1</v>
      </c>
      <c r="F47" s="482"/>
      <c r="G47" s="486">
        <v>2.2999999999999998</v>
      </c>
      <c r="H47" s="488"/>
      <c r="I47" s="425">
        <v>3</v>
      </c>
      <c r="J47" s="61">
        <v>51</v>
      </c>
      <c r="K47" s="425" t="s">
        <v>91</v>
      </c>
    </row>
    <row r="48" spans="1:11" ht="10.199999999999999" customHeight="1" x14ac:dyDescent="0.3">
      <c r="A48" s="380">
        <v>27</v>
      </c>
      <c r="B48" s="377" t="s">
        <v>367</v>
      </c>
      <c r="C48" s="438" t="s">
        <v>368</v>
      </c>
      <c r="D48" s="467">
        <v>2</v>
      </c>
      <c r="E48" s="443">
        <v>2.1</v>
      </c>
      <c r="F48" s="482"/>
      <c r="G48" s="486">
        <v>2</v>
      </c>
      <c r="H48" s="488"/>
      <c r="I48" s="425">
        <v>3</v>
      </c>
      <c r="J48" s="61">
        <v>54</v>
      </c>
      <c r="K48" s="425" t="s">
        <v>91</v>
      </c>
    </row>
    <row r="49" spans="1:11" ht="10.8" customHeight="1" x14ac:dyDescent="0.3">
      <c r="A49" s="380">
        <v>28</v>
      </c>
      <c r="B49" s="377" t="s">
        <v>369</v>
      </c>
      <c r="C49" s="438" t="s">
        <v>370</v>
      </c>
      <c r="D49" s="443" t="s">
        <v>93</v>
      </c>
      <c r="E49" s="443" t="s">
        <v>93</v>
      </c>
      <c r="F49" s="482"/>
      <c r="G49" s="487" t="s">
        <v>95</v>
      </c>
      <c r="H49" s="433"/>
      <c r="I49" s="425">
        <v>0</v>
      </c>
      <c r="J49" s="61">
        <v>19.5</v>
      </c>
      <c r="K49" s="436">
        <v>45950</v>
      </c>
    </row>
    <row r="50" spans="1:11" ht="10.199999999999999" customHeight="1" x14ac:dyDescent="0.3">
      <c r="A50" s="380">
        <v>29</v>
      </c>
      <c r="B50" s="377" t="s">
        <v>371</v>
      </c>
      <c r="C50" s="438" t="s">
        <v>372</v>
      </c>
      <c r="D50" s="443">
        <v>2.9</v>
      </c>
      <c r="E50" s="443">
        <v>2.2999999999999998</v>
      </c>
      <c r="F50" s="482"/>
      <c r="G50" s="486">
        <f t="shared" si="1"/>
        <v>2.5999999999999996</v>
      </c>
      <c r="H50" s="488"/>
      <c r="I50" s="425">
        <v>3</v>
      </c>
      <c r="J50" s="61">
        <v>51</v>
      </c>
      <c r="K50" s="489" t="s">
        <v>91</v>
      </c>
    </row>
    <row r="51" spans="1:11" ht="9.6" customHeight="1" x14ac:dyDescent="0.3">
      <c r="A51" s="380">
        <v>30</v>
      </c>
      <c r="B51" s="377" t="s">
        <v>373</v>
      </c>
      <c r="C51" s="438" t="s">
        <v>374</v>
      </c>
      <c r="D51" s="443">
        <v>2.9</v>
      </c>
      <c r="E51" s="443">
        <v>2.1</v>
      </c>
      <c r="F51" s="482"/>
      <c r="G51" s="486">
        <f t="shared" si="1"/>
        <v>2.5</v>
      </c>
      <c r="H51" s="433"/>
      <c r="I51" s="425">
        <v>3</v>
      </c>
      <c r="J51" s="61">
        <v>52.5</v>
      </c>
      <c r="K51" s="434" t="s">
        <v>91</v>
      </c>
    </row>
    <row r="52" spans="1:11" ht="10.199999999999999" customHeight="1" x14ac:dyDescent="0.3">
      <c r="A52" s="380">
        <v>31</v>
      </c>
      <c r="B52" s="377" t="s">
        <v>375</v>
      </c>
      <c r="C52" s="438" t="s">
        <v>376</v>
      </c>
      <c r="D52" s="443" t="s">
        <v>93</v>
      </c>
      <c r="E52" s="443" t="s">
        <v>93</v>
      </c>
      <c r="F52" s="482"/>
      <c r="G52" s="487" t="s">
        <v>95</v>
      </c>
      <c r="H52" s="433"/>
      <c r="I52" s="425">
        <v>0</v>
      </c>
      <c r="J52" s="61">
        <v>19.5</v>
      </c>
      <c r="K52" s="436">
        <v>45992</v>
      </c>
    </row>
    <row r="53" spans="1:11" ht="10.199999999999999" customHeight="1" x14ac:dyDescent="0.3">
      <c r="A53" s="380">
        <v>32</v>
      </c>
      <c r="B53" s="377" t="s">
        <v>377</v>
      </c>
      <c r="C53" s="438" t="s">
        <v>378</v>
      </c>
      <c r="D53" s="443">
        <v>2.8</v>
      </c>
      <c r="E53" s="443">
        <v>2.2999999999999998</v>
      </c>
      <c r="F53" s="483"/>
      <c r="G53" s="486">
        <v>2.5</v>
      </c>
      <c r="H53" s="488"/>
      <c r="I53" s="425">
        <v>3</v>
      </c>
      <c r="J53" s="61">
        <v>54</v>
      </c>
      <c r="K53" s="434" t="s">
        <v>91</v>
      </c>
    </row>
    <row r="54" spans="1:11" ht="10.199999999999999" customHeight="1" x14ac:dyDescent="0.3">
      <c r="A54" s="380">
        <v>33</v>
      </c>
      <c r="B54" s="377" t="s">
        <v>379</v>
      </c>
      <c r="C54" s="438" t="s">
        <v>380</v>
      </c>
      <c r="D54" s="443">
        <v>2.7</v>
      </c>
      <c r="E54" s="443">
        <v>2.4</v>
      </c>
      <c r="F54" s="482"/>
      <c r="G54" s="486">
        <v>2.5</v>
      </c>
      <c r="H54" s="433"/>
      <c r="I54" s="425">
        <v>3</v>
      </c>
      <c r="J54" s="61">
        <v>49.5</v>
      </c>
      <c r="K54" s="434" t="s">
        <v>91</v>
      </c>
    </row>
    <row r="55" spans="1:11" ht="10.199999999999999" customHeight="1" x14ac:dyDescent="0.3">
      <c r="A55" s="380">
        <v>34</v>
      </c>
      <c r="B55" s="377" t="s">
        <v>381</v>
      </c>
      <c r="C55" s="438" t="s">
        <v>382</v>
      </c>
      <c r="D55" s="443">
        <v>2.6</v>
      </c>
      <c r="E55" s="443">
        <v>2.7</v>
      </c>
      <c r="F55" s="482"/>
      <c r="G55" s="486">
        <v>2.6</v>
      </c>
      <c r="H55" s="488"/>
      <c r="I55" s="425">
        <v>3</v>
      </c>
      <c r="J55" s="61">
        <v>54</v>
      </c>
      <c r="K55" s="434" t="s">
        <v>91</v>
      </c>
    </row>
    <row r="56" spans="1:11" ht="10.199999999999999" customHeight="1" x14ac:dyDescent="0.3">
      <c r="A56" s="380">
        <v>35</v>
      </c>
      <c r="B56" s="377" t="s">
        <v>383</v>
      </c>
      <c r="C56" s="438" t="s">
        <v>384</v>
      </c>
      <c r="D56" s="443">
        <v>2.5</v>
      </c>
      <c r="E56" s="443">
        <v>2.2999999999999998</v>
      </c>
      <c r="F56" s="482"/>
      <c r="G56" s="486">
        <f t="shared" si="1"/>
        <v>2.4</v>
      </c>
      <c r="H56" s="488"/>
      <c r="I56" s="425">
        <v>3</v>
      </c>
      <c r="J56" s="61">
        <v>54</v>
      </c>
      <c r="K56" s="434" t="s">
        <v>91</v>
      </c>
    </row>
    <row r="57" spans="1:11" ht="10.8" customHeight="1" x14ac:dyDescent="0.3">
      <c r="A57" s="380">
        <v>36</v>
      </c>
      <c r="B57" s="377" t="s">
        <v>385</v>
      </c>
      <c r="C57" s="438" t="s">
        <v>386</v>
      </c>
      <c r="D57" s="443">
        <v>2.1</v>
      </c>
      <c r="E57" s="443">
        <v>2.4</v>
      </c>
      <c r="F57" s="482"/>
      <c r="G57" s="486">
        <v>2.2000000000000002</v>
      </c>
      <c r="H57" s="488"/>
      <c r="I57" s="425">
        <v>3</v>
      </c>
      <c r="J57" s="61">
        <v>51</v>
      </c>
      <c r="K57" s="434" t="s">
        <v>91</v>
      </c>
    </row>
    <row r="58" spans="1:11" ht="10.8" customHeight="1" x14ac:dyDescent="0.3">
      <c r="A58" s="380">
        <v>37</v>
      </c>
      <c r="B58" s="377" t="s">
        <v>387</v>
      </c>
      <c r="C58" s="438" t="s">
        <v>388</v>
      </c>
      <c r="D58" s="443">
        <v>2.7</v>
      </c>
      <c r="E58" s="443">
        <v>2.2999999999999998</v>
      </c>
      <c r="F58" s="482"/>
      <c r="G58" s="486">
        <f t="shared" si="1"/>
        <v>2.5</v>
      </c>
      <c r="H58" s="433"/>
      <c r="I58" s="425">
        <v>3</v>
      </c>
      <c r="J58" s="61">
        <v>49.5</v>
      </c>
      <c r="K58" s="434" t="s">
        <v>91</v>
      </c>
    </row>
    <row r="59" spans="1:11" ht="10.199999999999999" customHeight="1" x14ac:dyDescent="0.3">
      <c r="A59" s="380">
        <v>38</v>
      </c>
      <c r="B59" s="377" t="s">
        <v>389</v>
      </c>
      <c r="C59" s="438" t="s">
        <v>390</v>
      </c>
      <c r="D59" s="443">
        <v>2.8</v>
      </c>
      <c r="E59" s="443">
        <v>2.4</v>
      </c>
      <c r="F59" s="482"/>
      <c r="G59" s="486">
        <f t="shared" si="1"/>
        <v>2.5999999999999996</v>
      </c>
      <c r="H59" s="488"/>
      <c r="I59" s="425">
        <v>3</v>
      </c>
      <c r="J59" s="61">
        <v>45</v>
      </c>
      <c r="K59" s="434" t="s">
        <v>91</v>
      </c>
    </row>
    <row r="60" spans="1:11" ht="10.199999999999999" customHeight="1" x14ac:dyDescent="0.3">
      <c r="A60" s="380">
        <v>39</v>
      </c>
      <c r="B60" s="377" t="s">
        <v>391</v>
      </c>
      <c r="C60" s="438" t="s">
        <v>392</v>
      </c>
      <c r="D60" s="443">
        <v>2.8</v>
      </c>
      <c r="E60" s="443">
        <v>2.1</v>
      </c>
      <c r="F60" s="484"/>
      <c r="G60" s="486">
        <v>2.4</v>
      </c>
      <c r="H60" s="433"/>
      <c r="I60" s="425">
        <v>3</v>
      </c>
      <c r="J60" s="61">
        <v>49.5</v>
      </c>
      <c r="K60" s="434" t="s">
        <v>91</v>
      </c>
    </row>
    <row r="61" spans="1:11" ht="10.199999999999999" customHeight="1" x14ac:dyDescent="0.3">
      <c r="A61" s="380">
        <v>40</v>
      </c>
      <c r="B61" s="377" t="s">
        <v>393</v>
      </c>
      <c r="C61" s="438" t="s">
        <v>394</v>
      </c>
      <c r="D61" s="443" t="s">
        <v>93</v>
      </c>
      <c r="E61" s="443" t="s">
        <v>93</v>
      </c>
      <c r="F61" s="484"/>
      <c r="G61" s="487" t="s">
        <v>95</v>
      </c>
      <c r="H61" s="433"/>
      <c r="I61" s="425">
        <v>0</v>
      </c>
      <c r="J61" s="61">
        <v>19.5</v>
      </c>
      <c r="K61" s="434" t="s">
        <v>518</v>
      </c>
    </row>
    <row r="62" spans="1:11" ht="9.6" customHeight="1" x14ac:dyDescent="0.3">
      <c r="A62" s="380">
        <v>41</v>
      </c>
      <c r="B62" s="377" t="s">
        <v>395</v>
      </c>
      <c r="C62" s="438" t="s">
        <v>396</v>
      </c>
      <c r="D62" s="443">
        <v>2.8</v>
      </c>
      <c r="E62" s="443">
        <v>2.2999999999999998</v>
      </c>
      <c r="F62" s="484"/>
      <c r="G62" s="486">
        <v>2.5</v>
      </c>
      <c r="H62" s="488"/>
      <c r="I62" s="425">
        <v>3</v>
      </c>
      <c r="J62" s="61">
        <v>51</v>
      </c>
      <c r="K62" s="425" t="s">
        <v>91</v>
      </c>
    </row>
    <row r="63" spans="1:11" ht="10.199999999999999" customHeight="1" x14ac:dyDescent="0.3">
      <c r="A63" s="380">
        <v>42</v>
      </c>
      <c r="B63" s="377" t="s">
        <v>397</v>
      </c>
      <c r="C63" s="438" t="s">
        <v>398</v>
      </c>
      <c r="D63" s="443">
        <v>2.8</v>
      </c>
      <c r="E63" s="443">
        <v>2.7</v>
      </c>
      <c r="F63" s="484"/>
      <c r="G63" s="486">
        <v>2.7</v>
      </c>
      <c r="H63" s="488"/>
      <c r="I63" s="425">
        <v>3</v>
      </c>
      <c r="J63" s="61">
        <v>51</v>
      </c>
      <c r="K63" s="425" t="s">
        <v>91</v>
      </c>
    </row>
    <row r="64" spans="1:11" ht="10.8" customHeight="1" x14ac:dyDescent="0.3">
      <c r="A64" s="380">
        <v>43</v>
      </c>
      <c r="B64" s="377" t="s">
        <v>399</v>
      </c>
      <c r="C64" s="438" t="s">
        <v>400</v>
      </c>
      <c r="D64" s="443">
        <v>1.9</v>
      </c>
      <c r="E64" s="467">
        <v>2</v>
      </c>
      <c r="F64" s="484"/>
      <c r="G64" s="486">
        <v>1.9</v>
      </c>
      <c r="H64" s="488"/>
      <c r="I64" s="425">
        <v>3</v>
      </c>
      <c r="J64" s="61">
        <v>54</v>
      </c>
      <c r="K64" s="425" t="s">
        <v>91</v>
      </c>
    </row>
    <row r="65" spans="1:11" ht="9.6" customHeight="1" x14ac:dyDescent="0.3">
      <c r="A65" s="380">
        <v>44</v>
      </c>
      <c r="B65" s="377" t="s">
        <v>401</v>
      </c>
      <c r="C65" s="438" t="s">
        <v>402</v>
      </c>
      <c r="D65" s="443">
        <v>2.7</v>
      </c>
      <c r="E65" s="443">
        <v>2.2999999999999998</v>
      </c>
      <c r="F65" s="484"/>
      <c r="G65" s="486">
        <f t="shared" si="1"/>
        <v>2.5</v>
      </c>
      <c r="H65" s="433"/>
      <c r="I65" s="425">
        <v>3</v>
      </c>
      <c r="J65" s="61">
        <v>52.5</v>
      </c>
      <c r="K65" s="425" t="s">
        <v>91</v>
      </c>
    </row>
    <row r="66" spans="1:11" ht="11.4" customHeight="1" x14ac:dyDescent="0.3">
      <c r="A66" s="380">
        <v>45</v>
      </c>
      <c r="B66" s="377" t="s">
        <v>403</v>
      </c>
      <c r="C66" s="438" t="s">
        <v>404</v>
      </c>
      <c r="D66" s="443">
        <v>2.4</v>
      </c>
      <c r="E66" s="443">
        <v>2.1</v>
      </c>
      <c r="F66" s="484"/>
      <c r="G66" s="486">
        <v>2.2000000000000002</v>
      </c>
      <c r="H66" s="488"/>
      <c r="I66" s="425">
        <v>3</v>
      </c>
      <c r="J66" s="61">
        <v>54</v>
      </c>
      <c r="K66" s="425" t="s">
        <v>91</v>
      </c>
    </row>
    <row r="67" spans="1:11" ht="10.199999999999999" customHeight="1" x14ac:dyDescent="0.3">
      <c r="A67" s="380">
        <v>46</v>
      </c>
      <c r="B67" s="377" t="s">
        <v>405</v>
      </c>
      <c r="C67" s="438" t="s">
        <v>406</v>
      </c>
      <c r="D67" s="443">
        <v>2.6</v>
      </c>
      <c r="E67" s="443">
        <v>2.4</v>
      </c>
      <c r="F67" s="484"/>
      <c r="G67" s="486">
        <f t="shared" si="1"/>
        <v>2.5</v>
      </c>
      <c r="H67" s="488"/>
      <c r="I67" s="425">
        <v>3</v>
      </c>
      <c r="J67" s="61">
        <v>54</v>
      </c>
      <c r="K67" s="425" t="s">
        <v>91</v>
      </c>
    </row>
    <row r="68" spans="1:11" ht="10.8" customHeight="1" x14ac:dyDescent="0.3">
      <c r="A68" s="380">
        <v>47</v>
      </c>
      <c r="B68" s="377" t="s">
        <v>407</v>
      </c>
      <c r="C68" s="438" t="s">
        <v>408</v>
      </c>
      <c r="D68" s="443">
        <v>1.8</v>
      </c>
      <c r="E68" s="443">
        <v>1.9</v>
      </c>
      <c r="F68" s="484"/>
      <c r="G68" s="486">
        <v>1.8</v>
      </c>
      <c r="H68" s="488"/>
      <c r="I68" s="425">
        <v>3</v>
      </c>
      <c r="J68" s="61">
        <v>54</v>
      </c>
      <c r="K68" s="425" t="s">
        <v>91</v>
      </c>
    </row>
    <row r="69" spans="1:11" ht="10.199999999999999" customHeight="1" x14ac:dyDescent="0.3">
      <c r="A69" s="380">
        <v>48</v>
      </c>
      <c r="B69" s="377" t="s">
        <v>409</v>
      </c>
      <c r="C69" s="438" t="s">
        <v>410</v>
      </c>
      <c r="D69" s="443">
        <v>2.2999999999999998</v>
      </c>
      <c r="E69" s="467">
        <v>2</v>
      </c>
      <c r="F69" s="484"/>
      <c r="G69" s="486">
        <v>2.1</v>
      </c>
      <c r="H69" s="488"/>
      <c r="I69" s="425">
        <v>3</v>
      </c>
      <c r="J69" s="61">
        <v>54</v>
      </c>
      <c r="K69" s="425" t="s">
        <v>91</v>
      </c>
    </row>
    <row r="70" spans="1:11" ht="9.6" customHeight="1" x14ac:dyDescent="0.3">
      <c r="A70" s="380">
        <v>49</v>
      </c>
      <c r="B70" s="377" t="s">
        <v>411</v>
      </c>
      <c r="C70" s="438" t="s">
        <v>412</v>
      </c>
      <c r="D70" s="443">
        <v>2.8</v>
      </c>
      <c r="E70" s="443">
        <v>2.4</v>
      </c>
      <c r="F70" s="484"/>
      <c r="G70" s="486">
        <f t="shared" si="1"/>
        <v>2.5999999999999996</v>
      </c>
      <c r="H70" s="488"/>
      <c r="I70" s="425">
        <v>3</v>
      </c>
      <c r="J70" s="61">
        <v>51</v>
      </c>
      <c r="K70" s="425" t="s">
        <v>91</v>
      </c>
    </row>
    <row r="71" spans="1:11" ht="10.199999999999999" customHeight="1" x14ac:dyDescent="0.3">
      <c r="A71" s="380">
        <v>50</v>
      </c>
      <c r="B71" s="377" t="s">
        <v>413</v>
      </c>
      <c r="C71" s="438" t="s">
        <v>414</v>
      </c>
      <c r="D71" s="443">
        <v>2.5</v>
      </c>
      <c r="E71" s="443">
        <v>2.4</v>
      </c>
      <c r="F71" s="484"/>
      <c r="G71" s="486">
        <v>2.4</v>
      </c>
      <c r="H71" s="488"/>
      <c r="I71" s="425">
        <v>3</v>
      </c>
      <c r="J71" s="61">
        <v>54</v>
      </c>
      <c r="K71" s="425" t="s">
        <v>91</v>
      </c>
    </row>
    <row r="72" spans="1:11" ht="10.8" customHeight="1" x14ac:dyDescent="0.3">
      <c r="A72" s="380">
        <v>51</v>
      </c>
      <c r="B72" s="377" t="s">
        <v>415</v>
      </c>
      <c r="C72" s="438" t="s">
        <v>416</v>
      </c>
      <c r="D72" s="443">
        <v>2.5</v>
      </c>
      <c r="E72" s="443">
        <v>2.2999999999999998</v>
      </c>
      <c r="F72" s="484"/>
      <c r="G72" s="486">
        <f t="shared" si="1"/>
        <v>2.4</v>
      </c>
      <c r="H72" s="488"/>
      <c r="I72" s="425">
        <v>3</v>
      </c>
      <c r="J72" s="61">
        <v>54</v>
      </c>
      <c r="K72" s="425" t="s">
        <v>91</v>
      </c>
    </row>
    <row r="73" spans="1:11" ht="10.8" customHeight="1" x14ac:dyDescent="0.3">
      <c r="A73" s="380">
        <v>52</v>
      </c>
      <c r="B73" s="377" t="s">
        <v>482</v>
      </c>
      <c r="C73" s="438" t="s">
        <v>418</v>
      </c>
      <c r="D73" s="443">
        <v>2.2999999999999998</v>
      </c>
      <c r="E73" s="443">
        <v>2.4</v>
      </c>
      <c r="F73" s="484"/>
      <c r="G73" s="486">
        <v>2.2999999999999998</v>
      </c>
      <c r="H73" s="488"/>
      <c r="I73" s="425">
        <v>3</v>
      </c>
      <c r="J73" s="61">
        <v>51</v>
      </c>
      <c r="K73" s="425" t="s">
        <v>91</v>
      </c>
    </row>
    <row r="74" spans="1:11" ht="10.199999999999999" customHeight="1" x14ac:dyDescent="0.3">
      <c r="A74" s="380">
        <v>53</v>
      </c>
      <c r="B74" s="377" t="s">
        <v>419</v>
      </c>
      <c r="C74" s="438" t="s">
        <v>420</v>
      </c>
      <c r="D74" s="443" t="s">
        <v>93</v>
      </c>
      <c r="E74" s="443" t="s">
        <v>93</v>
      </c>
      <c r="F74" s="484"/>
      <c r="G74" s="487" t="s">
        <v>95</v>
      </c>
      <c r="H74" s="433"/>
      <c r="I74" s="425">
        <v>0</v>
      </c>
      <c r="J74" s="61">
        <v>19.5</v>
      </c>
      <c r="K74" s="436">
        <v>45992</v>
      </c>
    </row>
    <row r="75" spans="1:11" ht="10.199999999999999" customHeight="1" x14ac:dyDescent="0.3">
      <c r="A75" s="380">
        <v>54</v>
      </c>
      <c r="B75" s="377" t="s">
        <v>421</v>
      </c>
      <c r="C75" s="438" t="s">
        <v>422</v>
      </c>
      <c r="D75" s="443">
        <v>2.9</v>
      </c>
      <c r="E75" s="443">
        <v>2.4</v>
      </c>
      <c r="F75" s="484"/>
      <c r="G75" s="486">
        <v>2.6</v>
      </c>
      <c r="H75" s="488"/>
      <c r="I75" s="425">
        <v>3</v>
      </c>
      <c r="J75" s="61">
        <v>51</v>
      </c>
      <c r="K75" s="434" t="s">
        <v>91</v>
      </c>
    </row>
    <row r="76" spans="1:11" ht="10.199999999999999" customHeight="1" x14ac:dyDescent="0.3">
      <c r="A76" s="517">
        <v>55</v>
      </c>
      <c r="B76" s="377" t="s">
        <v>423</v>
      </c>
      <c r="C76" s="438" t="s">
        <v>424</v>
      </c>
      <c r="D76" s="443">
        <v>2.8</v>
      </c>
      <c r="E76" s="443" t="s">
        <v>93</v>
      </c>
      <c r="F76" s="484"/>
      <c r="G76" s="487" t="s">
        <v>95</v>
      </c>
      <c r="H76" s="488"/>
      <c r="I76" s="425">
        <v>0</v>
      </c>
      <c r="J76" s="61">
        <v>24</v>
      </c>
      <c r="K76" s="436">
        <v>45995</v>
      </c>
    </row>
    <row r="77" spans="1:11" ht="10.199999999999999" customHeight="1" x14ac:dyDescent="0.3">
      <c r="A77" s="517">
        <v>56</v>
      </c>
      <c r="B77" s="377" t="s">
        <v>425</v>
      </c>
      <c r="C77" s="438" t="s">
        <v>426</v>
      </c>
      <c r="D77" s="443">
        <v>2.6</v>
      </c>
      <c r="E77" s="443">
        <v>2.4</v>
      </c>
      <c r="F77" s="484"/>
      <c r="G77" s="486">
        <f t="shared" si="1"/>
        <v>2.5</v>
      </c>
      <c r="H77" s="433"/>
      <c r="I77" s="425">
        <v>3</v>
      </c>
      <c r="J77" s="61">
        <v>52.5</v>
      </c>
      <c r="K77" s="425" t="s">
        <v>91</v>
      </c>
    </row>
    <row r="78" spans="1:11" ht="10.199999999999999" customHeight="1" x14ac:dyDescent="0.3">
      <c r="A78" s="517">
        <v>57</v>
      </c>
      <c r="B78" s="377" t="s">
        <v>427</v>
      </c>
      <c r="C78" s="438" t="s">
        <v>428</v>
      </c>
      <c r="D78" s="443">
        <v>2.5</v>
      </c>
      <c r="E78" s="443">
        <v>2.1</v>
      </c>
      <c r="F78" s="484"/>
      <c r="G78" s="486">
        <f t="shared" si="1"/>
        <v>2.2999999999999998</v>
      </c>
      <c r="H78" s="488"/>
      <c r="I78" s="425">
        <v>3</v>
      </c>
      <c r="J78" s="61">
        <v>51</v>
      </c>
      <c r="K78" s="425" t="s">
        <v>91</v>
      </c>
    </row>
    <row r="79" spans="1:11" ht="10.8" customHeight="1" x14ac:dyDescent="0.3">
      <c r="A79" s="517">
        <v>58</v>
      </c>
      <c r="B79" s="377" t="s">
        <v>429</v>
      </c>
      <c r="C79" s="438" t="s">
        <v>430</v>
      </c>
      <c r="D79" s="443">
        <v>2.6</v>
      </c>
      <c r="E79" s="443">
        <v>2.5</v>
      </c>
      <c r="F79" s="484"/>
      <c r="G79" s="486">
        <v>2.5</v>
      </c>
      <c r="H79" s="488"/>
      <c r="I79" s="425">
        <v>3</v>
      </c>
      <c r="J79" s="61">
        <v>51</v>
      </c>
      <c r="K79" s="425" t="s">
        <v>91</v>
      </c>
    </row>
    <row r="80" spans="1:11" ht="9" customHeight="1" x14ac:dyDescent="0.3">
      <c r="A80" s="4"/>
      <c r="B80" s="4"/>
      <c r="C80" s="478" t="s">
        <v>55</v>
      </c>
      <c r="D80" s="421"/>
      <c r="E80" s="421"/>
      <c r="F80" s="44"/>
      <c r="G80" s="43"/>
      <c r="H80" s="36"/>
      <c r="I80" s="45"/>
      <c r="J80" s="41"/>
      <c r="K80" s="12"/>
    </row>
    <row r="81" spans="1:13" ht="23.2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2"/>
      <c r="K81" s="3"/>
    </row>
    <row r="82" spans="1:13" ht="19.2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2"/>
      <c r="K82" s="3"/>
    </row>
    <row r="83" spans="1:13" ht="85.8" customHeight="1" x14ac:dyDescent="0.3">
      <c r="A83" s="530"/>
      <c r="B83" s="530"/>
      <c r="C83" s="530"/>
      <c r="D83" s="530"/>
      <c r="E83" s="530"/>
      <c r="F83" s="530"/>
      <c r="G83" s="530"/>
      <c r="H83" s="530"/>
      <c r="I83" s="530"/>
      <c r="J83" s="530"/>
      <c r="K83" s="530"/>
    </row>
    <row r="84" spans="1:13" ht="25.8" customHeight="1" x14ac:dyDescent="0.3">
      <c r="A84" s="530" t="s">
        <v>520</v>
      </c>
      <c r="B84" s="530"/>
      <c r="C84" s="530"/>
      <c r="D84" s="530"/>
      <c r="E84" s="530"/>
      <c r="F84" s="530"/>
      <c r="G84" s="530"/>
      <c r="H84" s="530"/>
      <c r="I84" s="530"/>
      <c r="J84" s="530"/>
      <c r="K84" s="530"/>
      <c r="M84" t="s">
        <v>96</v>
      </c>
    </row>
    <row r="85" spans="1:13" ht="9.6" customHeight="1" x14ac:dyDescent="0.3"/>
    <row r="86" spans="1:13" ht="18.75" customHeight="1" x14ac:dyDescent="0.3"/>
    <row r="87" spans="1:13" x14ac:dyDescent="0.3">
      <c r="B87" s="1"/>
    </row>
    <row r="88" spans="1:13" x14ac:dyDescent="0.3">
      <c r="B88" s="2"/>
    </row>
    <row r="89" spans="1:13" x14ac:dyDescent="0.3">
      <c r="B89" s="1"/>
    </row>
    <row r="90" spans="1:13" x14ac:dyDescent="0.3">
      <c r="A90" s="3"/>
      <c r="B90" s="3"/>
      <c r="C90" s="3"/>
      <c r="D90" s="3"/>
      <c r="E90" s="3"/>
      <c r="F90" s="3"/>
      <c r="G90" s="3"/>
      <c r="H90" s="3"/>
      <c r="I90" s="3"/>
      <c r="J90" s="32"/>
      <c r="K90" s="3"/>
    </row>
    <row r="91" spans="1:13" x14ac:dyDescent="0.3">
      <c r="A91" s="35"/>
      <c r="B91" s="13"/>
      <c r="C91" s="13"/>
      <c r="D91" s="13"/>
      <c r="E91" s="13"/>
      <c r="F91" s="13"/>
      <c r="G91" s="13"/>
      <c r="H91" s="13"/>
      <c r="I91" s="13"/>
      <c r="J91" s="15"/>
      <c r="K91" s="13"/>
    </row>
    <row r="92" spans="1:13" x14ac:dyDescent="0.3">
      <c r="A92" s="538" t="s">
        <v>96</v>
      </c>
      <c r="B92" s="538"/>
      <c r="C92" s="538"/>
      <c r="D92" s="538"/>
      <c r="E92" s="538"/>
      <c r="F92" s="538"/>
      <c r="G92" s="538"/>
      <c r="H92" s="538"/>
      <c r="I92" s="538"/>
      <c r="J92" s="538"/>
      <c r="K92" s="538"/>
    </row>
    <row r="93" spans="1:13" x14ac:dyDescent="0.3">
      <c r="A93" s="539"/>
      <c r="B93" s="539"/>
      <c r="C93" s="539"/>
      <c r="D93" s="539"/>
      <c r="E93" s="539"/>
      <c r="F93" s="539"/>
      <c r="G93" s="539"/>
      <c r="H93" s="539"/>
      <c r="I93" s="539"/>
      <c r="J93" s="539"/>
      <c r="K93" s="539"/>
    </row>
    <row r="94" spans="1:13" x14ac:dyDescent="0.3">
      <c r="A94" s="539"/>
      <c r="B94" s="539"/>
      <c r="C94" s="539"/>
      <c r="D94" s="539"/>
      <c r="E94" s="539"/>
      <c r="F94" s="539"/>
      <c r="G94" s="539"/>
      <c r="H94" s="539"/>
      <c r="I94" s="539"/>
      <c r="J94" s="539"/>
      <c r="K94" s="539"/>
    </row>
    <row r="95" spans="1:13" x14ac:dyDescent="0.3">
      <c r="A95" s="13"/>
      <c r="B95" s="13"/>
      <c r="C95" s="13"/>
      <c r="D95" s="13"/>
      <c r="E95" s="13"/>
      <c r="F95" s="13"/>
      <c r="G95" s="13"/>
      <c r="H95" s="13"/>
      <c r="I95" s="13"/>
      <c r="J95" s="15"/>
      <c r="K95" s="13"/>
    </row>
    <row r="96" spans="1:13" x14ac:dyDescent="0.3">
      <c r="A96" s="13"/>
      <c r="B96" s="13"/>
      <c r="C96" s="13"/>
      <c r="D96" s="13"/>
      <c r="E96" s="13"/>
      <c r="F96" s="13"/>
      <c r="H96" s="14"/>
      <c r="I96" s="13"/>
      <c r="J96" s="15"/>
      <c r="K96" s="15"/>
    </row>
    <row r="97" spans="1:11" x14ac:dyDescent="0.3">
      <c r="A97" s="13"/>
      <c r="B97" s="13"/>
      <c r="C97" s="13"/>
      <c r="D97" s="13"/>
      <c r="E97" s="13"/>
      <c r="F97" s="13"/>
      <c r="J97"/>
    </row>
    <row r="98" spans="1:11" ht="6.75" customHeight="1" x14ac:dyDescent="0.3">
      <c r="A98" s="13"/>
      <c r="B98" s="13"/>
      <c r="C98" s="13"/>
      <c r="D98" s="13"/>
      <c r="E98" s="13"/>
      <c r="F98" s="13"/>
      <c r="J98"/>
    </row>
    <row r="99" spans="1:11" ht="7.5" customHeight="1" x14ac:dyDescent="0.3">
      <c r="A99" s="13"/>
      <c r="B99" s="13"/>
      <c r="C99" s="13"/>
      <c r="D99" s="13"/>
      <c r="E99" s="13"/>
      <c r="F99" s="13"/>
      <c r="J99"/>
    </row>
    <row r="100" spans="1:11" x14ac:dyDescent="0.3">
      <c r="A100" s="13"/>
      <c r="B100" s="13"/>
      <c r="C100" s="13"/>
      <c r="D100" s="13"/>
      <c r="E100" s="13"/>
      <c r="F100" s="13"/>
      <c r="J100"/>
    </row>
    <row r="101" spans="1:11" x14ac:dyDescent="0.3">
      <c r="A101" s="13"/>
      <c r="B101" s="13"/>
      <c r="C101" s="13"/>
      <c r="D101" s="13"/>
      <c r="E101" s="13"/>
      <c r="F101" s="13"/>
      <c r="J101"/>
    </row>
    <row r="102" spans="1:11" x14ac:dyDescent="0.3">
      <c r="A102" s="13"/>
      <c r="B102" s="13"/>
      <c r="C102" s="13"/>
      <c r="D102" s="13"/>
      <c r="E102" s="13"/>
      <c r="F102" s="13"/>
      <c r="J102"/>
    </row>
    <row r="103" spans="1:11" x14ac:dyDescent="0.3">
      <c r="A103" s="13"/>
      <c r="B103" s="13"/>
      <c r="C103" s="13"/>
      <c r="D103" s="13"/>
      <c r="E103" s="13"/>
      <c r="F103" s="13"/>
      <c r="G103" s="13"/>
      <c r="H103" s="3"/>
      <c r="I103" s="3"/>
      <c r="J103" s="32"/>
      <c r="K103" s="3"/>
    </row>
    <row r="104" spans="1:11" ht="7.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2"/>
      <c r="K104" s="3"/>
    </row>
    <row r="105" spans="1:1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2"/>
      <c r="K105" s="3"/>
    </row>
    <row r="106" spans="1:11" ht="22.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2"/>
      <c r="K106" s="3"/>
    </row>
    <row r="107" spans="1:1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2"/>
      <c r="K107" s="3"/>
    </row>
    <row r="108" spans="1:1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2"/>
      <c r="K108" s="3"/>
    </row>
    <row r="109" spans="1:1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2"/>
      <c r="K109" s="3"/>
    </row>
    <row r="110" spans="1:1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2"/>
      <c r="K110" s="3"/>
    </row>
    <row r="111" spans="1:1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2"/>
      <c r="K111" s="3"/>
    </row>
    <row r="112" spans="1:1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2"/>
      <c r="K112" s="3"/>
    </row>
    <row r="113" spans="1:11" x14ac:dyDescent="0.3">
      <c r="A113" s="3"/>
      <c r="B113" s="3"/>
      <c r="C113" s="3"/>
      <c r="D113" s="3"/>
      <c r="E113" s="3"/>
      <c r="F113" s="3"/>
      <c r="G113" s="3"/>
      <c r="H113" s="160"/>
      <c r="I113" s="160"/>
      <c r="J113" s="160"/>
      <c r="K113" s="160"/>
    </row>
    <row r="114" spans="1:11" x14ac:dyDescent="0.3">
      <c r="A114" s="3"/>
      <c r="B114" s="3"/>
      <c r="C114" s="3"/>
      <c r="D114" s="3"/>
      <c r="E114" s="3"/>
      <c r="F114" s="3"/>
      <c r="G114" s="3"/>
    </row>
    <row r="115" spans="1:11" x14ac:dyDescent="0.3">
      <c r="A115" s="3"/>
      <c r="B115" s="3"/>
      <c r="C115" s="3"/>
      <c r="D115" s="3"/>
      <c r="E115" s="3"/>
      <c r="F115" s="3"/>
      <c r="G115" s="3"/>
    </row>
    <row r="116" spans="1:11" x14ac:dyDescent="0.3">
      <c r="A116" s="3"/>
      <c r="B116" s="3"/>
      <c r="C116" s="3"/>
      <c r="D116" s="3"/>
      <c r="E116" s="3"/>
      <c r="F116" s="3"/>
      <c r="G116" s="3"/>
    </row>
    <row r="117" spans="1:11" x14ac:dyDescent="0.3">
      <c r="A117" s="159"/>
      <c r="B117" s="160"/>
      <c r="C117" s="160"/>
      <c r="D117" s="160"/>
      <c r="E117" s="160"/>
      <c r="F117" s="160"/>
      <c r="G117" s="160"/>
    </row>
  </sheetData>
  <autoFilter ref="A19:K78" xr:uid="{00000000-0009-0000-0000-000006000000}">
    <filterColumn colId="3" showButton="0"/>
    <filterColumn colId="4" showButton="0"/>
    <filterColumn colId="5" showButton="0"/>
  </autoFilter>
  <mergeCells count="16">
    <mergeCell ref="A92:K92"/>
    <mergeCell ref="A93:K93"/>
    <mergeCell ref="A94:K94"/>
    <mergeCell ref="K19:K20"/>
    <mergeCell ref="A84:K84"/>
    <mergeCell ref="A83:K83"/>
    <mergeCell ref="A7:K7"/>
    <mergeCell ref="A8:K8"/>
    <mergeCell ref="A9:K9"/>
    <mergeCell ref="A19:A20"/>
    <mergeCell ref="B19:B20"/>
    <mergeCell ref="C19:C20"/>
    <mergeCell ref="D19:G19"/>
    <mergeCell ref="H19:H20"/>
    <mergeCell ref="I19:I20"/>
    <mergeCell ref="J19:J20"/>
  </mergeCells>
  <phoneticPr fontId="21" type="noConversion"/>
  <pageMargins left="0.51181102362204722" right="0.31496062992125984" top="0.19685039370078741" bottom="0.19685039370078741" header="0.19685039370078741" footer="0.19685039370078741"/>
  <pageSetup paperSize="14" scale="90" fitToHeight="0" orientation="portrait" horizontalDpi="4294967292" verticalDpi="4294967292" r:id="rId1"/>
  <rowBreaks count="1" manualBreakCount="1">
    <brk id="100" max="16383" man="1"/>
  </rowBreaks>
  <drawing r:id="rId2"/>
  <extLst>
    <ext xmlns:mx="http://schemas.microsoft.com/office/mac/excel/2008/main" uri="{64002731-A6B0-56B0-2670-7721B7C09600}">
      <mx:PLV Mode="1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26A6E-4C67-4548-91C6-DA4096AABD00}">
  <sheetPr>
    <tabColor theme="9" tint="0.39997558519241921"/>
    <pageSetUpPr fitToPage="1"/>
  </sheetPr>
  <dimension ref="A1:P103"/>
  <sheetViews>
    <sheetView tabSelected="1" topLeftCell="A3" zoomScale="117" zoomScaleNormal="117" zoomScaleSheetLayoutView="145" zoomScalePageLayoutView="106" workbookViewId="0">
      <selection activeCell="N11" sqref="N11"/>
    </sheetView>
  </sheetViews>
  <sheetFormatPr defaultColWidth="8.88671875" defaultRowHeight="14.4" x14ac:dyDescent="0.3"/>
  <cols>
    <col min="1" max="1" width="4.44140625" customWidth="1"/>
    <col min="2" max="2" width="14" customWidth="1"/>
    <col min="3" max="3" width="30" customWidth="1"/>
    <col min="4" max="4" width="7.109375" customWidth="1"/>
    <col min="5" max="5" width="7.44140625" customWidth="1"/>
    <col min="6" max="6" width="7.44140625" hidden="1" customWidth="1"/>
    <col min="7" max="7" width="6.21875" customWidth="1"/>
    <col min="8" max="8" width="6.6640625" customWidth="1"/>
    <col min="9" max="9" width="7.21875" customWidth="1"/>
    <col min="10" max="10" width="9.44140625" style="417" customWidth="1"/>
    <col min="11" max="11" width="15.33203125" customWidth="1"/>
  </cols>
  <sheetData>
    <row r="1" spans="1:12" ht="12.75" customHeight="1" x14ac:dyDescent="0.3">
      <c r="B1" s="1" t="s">
        <v>39</v>
      </c>
      <c r="K1" s="541"/>
    </row>
    <row r="2" spans="1:12" ht="12" customHeight="1" x14ac:dyDescent="0.3">
      <c r="B2" s="2" t="s">
        <v>48</v>
      </c>
      <c r="K2" s="541"/>
    </row>
    <row r="3" spans="1:12" ht="13.5" customHeight="1" x14ac:dyDescent="0.3">
      <c r="B3" s="1" t="s">
        <v>38</v>
      </c>
      <c r="K3" s="541"/>
    </row>
    <row r="4" spans="1:12" ht="6.75" customHeight="1" x14ac:dyDescent="0.3">
      <c r="A4" s="3"/>
      <c r="B4" s="3"/>
      <c r="C4" s="3"/>
      <c r="D4" s="3"/>
      <c r="E4" s="3"/>
      <c r="F4" s="3"/>
      <c r="G4" s="3"/>
      <c r="H4" s="3"/>
      <c r="I4" s="3"/>
      <c r="J4" s="32"/>
      <c r="K4" s="3"/>
    </row>
    <row r="5" spans="1:12" ht="16.5" customHeight="1" x14ac:dyDescent="0.3">
      <c r="A5" s="55" t="s">
        <v>53</v>
      </c>
      <c r="B5" s="52"/>
      <c r="C5" s="52"/>
      <c r="D5" s="52"/>
      <c r="E5" s="52"/>
      <c r="F5" s="52"/>
      <c r="G5" s="52"/>
      <c r="H5" s="52"/>
      <c r="I5" s="52"/>
      <c r="J5" s="413"/>
      <c r="K5" s="52"/>
    </row>
    <row r="6" spans="1:12" ht="4.2" customHeight="1" x14ac:dyDescent="0.3">
      <c r="A6" s="55"/>
      <c r="B6" s="52"/>
      <c r="C6" s="52"/>
      <c r="D6" s="52"/>
      <c r="E6" s="52"/>
      <c r="F6" s="52"/>
      <c r="G6" s="52"/>
      <c r="H6" s="52"/>
      <c r="I6" s="52"/>
      <c r="J6" s="413"/>
      <c r="K6" s="52"/>
    </row>
    <row r="7" spans="1:12" ht="12.6" customHeight="1" x14ac:dyDescent="0.3">
      <c r="A7" s="693" t="s">
        <v>0</v>
      </c>
      <c r="B7" s="693"/>
      <c r="C7" s="693"/>
      <c r="D7" s="693"/>
      <c r="E7" s="693"/>
      <c r="F7" s="693"/>
      <c r="G7" s="693"/>
      <c r="H7" s="693"/>
      <c r="I7" s="693"/>
      <c r="J7" s="693"/>
      <c r="K7" s="693"/>
    </row>
    <row r="8" spans="1:12" ht="13.2" customHeight="1" x14ac:dyDescent="0.3">
      <c r="A8" s="533" t="s">
        <v>313</v>
      </c>
      <c r="B8" s="533"/>
      <c r="C8" s="533"/>
      <c r="D8" s="533"/>
      <c r="E8" s="533"/>
      <c r="F8" s="533"/>
      <c r="G8" s="533"/>
      <c r="H8" s="533"/>
      <c r="I8" s="533"/>
      <c r="J8" s="533"/>
      <c r="K8" s="533"/>
    </row>
    <row r="9" spans="1:12" ht="13.8" customHeight="1" x14ac:dyDescent="0.3">
      <c r="A9" s="533" t="s">
        <v>314</v>
      </c>
      <c r="B9" s="533"/>
      <c r="C9" s="533"/>
      <c r="D9" s="533"/>
      <c r="E9" s="533"/>
      <c r="F9" s="533"/>
      <c r="G9" s="533"/>
      <c r="H9" s="533"/>
      <c r="I9" s="533"/>
      <c r="J9" s="533"/>
      <c r="K9" s="533"/>
    </row>
    <row r="10" spans="1:12" ht="12" customHeight="1" x14ac:dyDescent="0.3">
      <c r="A10" s="13"/>
      <c r="B10" s="13"/>
      <c r="C10" s="13"/>
      <c r="D10" s="13"/>
      <c r="E10" s="13"/>
      <c r="F10" s="13"/>
      <c r="G10" s="13"/>
      <c r="H10" s="13"/>
      <c r="I10" s="13"/>
      <c r="J10" s="410"/>
      <c r="K10" s="13"/>
    </row>
    <row r="11" spans="1:12" ht="13.8" customHeight="1" x14ac:dyDescent="0.3">
      <c r="A11" s="13" t="s">
        <v>43</v>
      </c>
      <c r="B11" s="52"/>
      <c r="C11" s="53" t="s">
        <v>85</v>
      </c>
      <c r="D11" s="38"/>
      <c r="E11" s="38"/>
      <c r="F11" s="13"/>
      <c r="H11" s="57" t="s">
        <v>1</v>
      </c>
      <c r="I11" s="52"/>
      <c r="J11" s="413"/>
      <c r="K11" s="413">
        <v>6</v>
      </c>
    </row>
    <row r="12" spans="1:12" ht="12.75" customHeight="1" x14ac:dyDescent="0.3">
      <c r="A12" s="13" t="s">
        <v>44</v>
      </c>
      <c r="B12" s="52"/>
      <c r="C12" s="278" t="s">
        <v>64</v>
      </c>
      <c r="D12" s="38"/>
      <c r="E12" s="38"/>
      <c r="F12" s="13"/>
      <c r="H12" s="52" t="s">
        <v>2</v>
      </c>
      <c r="I12" s="52"/>
      <c r="J12" s="413"/>
      <c r="K12" s="413"/>
    </row>
    <row r="13" spans="1:12" ht="12.6" customHeight="1" x14ac:dyDescent="0.3">
      <c r="A13" s="416" t="s">
        <v>45</v>
      </c>
      <c r="B13" s="52"/>
      <c r="C13" s="279" t="s">
        <v>517</v>
      </c>
      <c r="D13" s="39"/>
      <c r="E13" s="39"/>
      <c r="F13" s="13"/>
      <c r="H13" s="52"/>
      <c r="I13" s="52" t="s">
        <v>3</v>
      </c>
      <c r="J13" s="413"/>
      <c r="K13" s="413">
        <v>0</v>
      </c>
    </row>
    <row r="14" spans="1:12" ht="12" customHeight="1" x14ac:dyDescent="0.3">
      <c r="A14" s="13" t="s">
        <v>46</v>
      </c>
      <c r="B14" s="52"/>
      <c r="C14" s="279" t="s">
        <v>87</v>
      </c>
      <c r="D14" s="39"/>
      <c r="E14" s="39"/>
      <c r="F14" s="13"/>
      <c r="H14" s="52"/>
      <c r="I14" s="282" t="s">
        <v>4</v>
      </c>
      <c r="J14" s="413"/>
      <c r="K14" s="419">
        <v>0</v>
      </c>
      <c r="L14" s="474"/>
    </row>
    <row r="15" spans="1:12" ht="12.75" customHeight="1" x14ac:dyDescent="0.3">
      <c r="A15" s="13" t="s">
        <v>47</v>
      </c>
      <c r="B15" s="52"/>
      <c r="C15" s="279" t="s">
        <v>521</v>
      </c>
      <c r="D15" s="39"/>
      <c r="E15" s="39"/>
      <c r="F15" s="13"/>
      <c r="G15" s="474"/>
      <c r="H15" s="52"/>
      <c r="I15" s="282" t="s">
        <v>5</v>
      </c>
      <c r="J15" s="413"/>
      <c r="K15" s="413">
        <v>0</v>
      </c>
    </row>
    <row r="16" spans="1:12" ht="12.75" customHeight="1" x14ac:dyDescent="0.3">
      <c r="A16" s="13"/>
      <c r="B16" s="13"/>
      <c r="C16" s="13"/>
      <c r="D16" s="13"/>
      <c r="E16" s="704"/>
      <c r="F16" s="13"/>
      <c r="G16" s="474"/>
      <c r="H16" s="52"/>
      <c r="I16" s="52" t="s">
        <v>6</v>
      </c>
      <c r="J16" s="413"/>
      <c r="K16" s="419">
        <v>0</v>
      </c>
    </row>
    <row r="17" spans="1:16" ht="12.75" customHeight="1" x14ac:dyDescent="0.3">
      <c r="A17" s="13"/>
      <c r="B17" s="13"/>
      <c r="C17" s="13"/>
      <c r="D17" s="13"/>
      <c r="E17" s="13"/>
      <c r="F17" s="13"/>
      <c r="H17" s="52"/>
      <c r="I17" s="52" t="s">
        <v>7</v>
      </c>
      <c r="J17" s="413"/>
      <c r="K17" s="424">
        <v>6</v>
      </c>
    </row>
    <row r="18" spans="1:16" ht="8.4" customHeight="1" x14ac:dyDescent="0.3">
      <c r="A18" s="13"/>
      <c r="B18" s="13"/>
      <c r="C18" s="13"/>
      <c r="D18" s="13"/>
      <c r="E18" s="13"/>
      <c r="F18" s="13"/>
      <c r="G18" s="13"/>
      <c r="H18" s="13"/>
      <c r="I18" s="13"/>
      <c r="J18" s="410"/>
      <c r="K18" s="13"/>
    </row>
    <row r="19" spans="1:16" ht="11.25" customHeight="1" x14ac:dyDescent="0.3">
      <c r="A19" s="697" t="s">
        <v>8</v>
      </c>
      <c r="B19" s="695" t="s">
        <v>9</v>
      </c>
      <c r="C19" s="695" t="s">
        <v>51</v>
      </c>
      <c r="D19" s="699" t="s">
        <v>12</v>
      </c>
      <c r="E19" s="700"/>
      <c r="F19" s="700"/>
      <c r="G19" s="701"/>
      <c r="H19" s="695" t="s">
        <v>14</v>
      </c>
      <c r="I19" s="695" t="s">
        <v>13</v>
      </c>
      <c r="J19" s="695" t="s">
        <v>54</v>
      </c>
      <c r="K19" s="695" t="s">
        <v>16</v>
      </c>
    </row>
    <row r="20" spans="1:16" ht="24" customHeight="1" x14ac:dyDescent="0.3">
      <c r="A20" s="698"/>
      <c r="B20" s="696"/>
      <c r="C20" s="696"/>
      <c r="D20" s="276" t="s">
        <v>10</v>
      </c>
      <c r="E20" s="276" t="s">
        <v>15</v>
      </c>
      <c r="F20" s="420"/>
      <c r="G20" s="188" t="s">
        <v>11</v>
      </c>
      <c r="H20" s="696"/>
      <c r="I20" s="696"/>
      <c r="J20" s="696"/>
      <c r="K20" s="696"/>
    </row>
    <row r="21" spans="1:16" ht="13.8" customHeight="1" x14ac:dyDescent="0.3">
      <c r="A21" s="476"/>
      <c r="B21" s="48"/>
      <c r="C21" s="47" t="s">
        <v>35</v>
      </c>
      <c r="D21" s="12"/>
      <c r="E21" s="12"/>
      <c r="F21" s="12"/>
      <c r="G21" s="12"/>
      <c r="H21" s="12"/>
      <c r="I21" s="12"/>
      <c r="J21" s="12"/>
      <c r="K21" s="11"/>
    </row>
    <row r="22" spans="1:16" ht="14.4" customHeight="1" x14ac:dyDescent="0.3">
      <c r="A22" s="291">
        <v>1</v>
      </c>
      <c r="B22" s="284" t="s">
        <v>101</v>
      </c>
      <c r="C22" s="285" t="s">
        <v>102</v>
      </c>
      <c r="D22" s="286">
        <v>2.5</v>
      </c>
      <c r="E22" s="287">
        <v>2.1</v>
      </c>
      <c r="F22" s="287"/>
      <c r="G22" s="288">
        <v>2.2999999999999998</v>
      </c>
      <c r="H22" s="292"/>
      <c r="I22" s="289">
        <v>3</v>
      </c>
      <c r="J22" s="290">
        <v>49.5</v>
      </c>
      <c r="K22" s="291" t="s">
        <v>91</v>
      </c>
    </row>
    <row r="23" spans="1:16" ht="15" customHeight="1" x14ac:dyDescent="0.3">
      <c r="A23" s="291">
        <v>2</v>
      </c>
      <c r="B23" s="284" t="s">
        <v>493</v>
      </c>
      <c r="C23" s="17" t="s">
        <v>479</v>
      </c>
      <c r="D23" s="286">
        <v>2</v>
      </c>
      <c r="E23" s="287">
        <v>2</v>
      </c>
      <c r="F23" s="287"/>
      <c r="G23" s="288">
        <v>2</v>
      </c>
      <c r="H23" s="292"/>
      <c r="I23" s="289">
        <v>3</v>
      </c>
      <c r="J23" s="290">
        <v>46.5</v>
      </c>
      <c r="K23" s="291" t="s">
        <v>91</v>
      </c>
      <c r="P23" t="s">
        <v>96</v>
      </c>
    </row>
    <row r="24" spans="1:16" ht="13.8" customHeight="1" x14ac:dyDescent="0.3">
      <c r="A24" s="291"/>
      <c r="B24" s="291"/>
      <c r="C24" s="299" t="s">
        <v>49</v>
      </c>
      <c r="D24" s="295"/>
      <c r="E24" s="296"/>
      <c r="F24" s="293"/>
      <c r="G24" s="297"/>
      <c r="H24" s="298"/>
      <c r="I24" s="289"/>
      <c r="J24" s="290"/>
      <c r="K24" s="291"/>
    </row>
    <row r="25" spans="1:16" ht="13.2" customHeight="1" x14ac:dyDescent="0.3">
      <c r="A25" s="291">
        <v>3</v>
      </c>
      <c r="B25" s="284" t="s">
        <v>199</v>
      </c>
      <c r="C25" s="285" t="s">
        <v>200</v>
      </c>
      <c r="D25" s="295">
        <v>2.1</v>
      </c>
      <c r="E25" s="296">
        <v>2</v>
      </c>
      <c r="F25" s="293"/>
      <c r="G25" s="297">
        <v>2</v>
      </c>
      <c r="H25" s="298"/>
      <c r="I25" s="289">
        <v>3</v>
      </c>
      <c r="J25" s="290">
        <v>54</v>
      </c>
      <c r="K25" s="291" t="s">
        <v>91</v>
      </c>
    </row>
    <row r="26" spans="1:16" ht="12.6" customHeight="1" x14ac:dyDescent="0.3">
      <c r="A26" s="291">
        <v>4</v>
      </c>
      <c r="B26" s="284" t="s">
        <v>201</v>
      </c>
      <c r="C26" s="285" t="s">
        <v>202</v>
      </c>
      <c r="D26" s="295">
        <v>2.8</v>
      </c>
      <c r="E26" s="296">
        <v>2.7</v>
      </c>
      <c r="F26" s="293"/>
      <c r="G26" s="297">
        <v>2.7</v>
      </c>
      <c r="H26" s="298"/>
      <c r="I26" s="289">
        <v>3</v>
      </c>
      <c r="J26" s="290">
        <v>54</v>
      </c>
      <c r="K26" s="291" t="s">
        <v>91</v>
      </c>
    </row>
    <row r="27" spans="1:16" ht="13.8" customHeight="1" x14ac:dyDescent="0.3">
      <c r="A27" s="291">
        <v>5</v>
      </c>
      <c r="B27" s="284" t="s">
        <v>203</v>
      </c>
      <c r="C27" s="285" t="s">
        <v>204</v>
      </c>
      <c r="D27" s="295">
        <v>2.8</v>
      </c>
      <c r="E27" s="296">
        <v>2.7</v>
      </c>
      <c r="F27" s="293"/>
      <c r="G27" s="297">
        <v>2.7</v>
      </c>
      <c r="H27" s="298"/>
      <c r="I27" s="289">
        <v>3</v>
      </c>
      <c r="J27" s="290">
        <v>54</v>
      </c>
      <c r="K27" s="291" t="s">
        <v>91</v>
      </c>
    </row>
    <row r="28" spans="1:16" ht="13.2" customHeight="1" x14ac:dyDescent="0.3">
      <c r="A28" s="460">
        <v>6</v>
      </c>
      <c r="B28" s="284" t="s">
        <v>205</v>
      </c>
      <c r="C28" s="285" t="s">
        <v>206</v>
      </c>
      <c r="D28" s="295">
        <v>2.6</v>
      </c>
      <c r="E28" s="296">
        <v>2.4</v>
      </c>
      <c r="F28" s="293"/>
      <c r="G28" s="297">
        <v>2.5</v>
      </c>
      <c r="H28" s="298"/>
      <c r="I28" s="289">
        <v>3</v>
      </c>
      <c r="J28" s="290">
        <v>54</v>
      </c>
      <c r="K28" s="291" t="s">
        <v>91</v>
      </c>
    </row>
    <row r="29" spans="1:16" ht="10.8" customHeight="1" x14ac:dyDescent="0.3">
      <c r="A29" s="460"/>
      <c r="B29" s="461"/>
      <c r="C29" s="285"/>
      <c r="D29" s="295"/>
      <c r="E29" s="296"/>
      <c r="F29" s="293"/>
      <c r="G29" s="297"/>
      <c r="H29" s="298"/>
      <c r="I29" s="289"/>
      <c r="J29" s="290"/>
      <c r="K29" s="462"/>
    </row>
    <row r="30" spans="1:16" ht="10.8" customHeight="1" x14ac:dyDescent="0.3">
      <c r="A30" s="460"/>
      <c r="B30" s="461"/>
      <c r="C30" s="285"/>
      <c r="D30" s="295"/>
      <c r="E30" s="296"/>
      <c r="F30" s="293"/>
      <c r="G30" s="297"/>
      <c r="H30" s="298"/>
      <c r="I30" s="289"/>
      <c r="J30" s="290"/>
      <c r="K30" s="462"/>
    </row>
    <row r="31" spans="1:16" ht="10.8" customHeight="1" x14ac:dyDescent="0.3">
      <c r="A31" s="460"/>
      <c r="B31" s="461"/>
      <c r="C31" s="285"/>
      <c r="D31" s="295"/>
      <c r="E31" s="296"/>
      <c r="F31" s="293"/>
      <c r="G31" s="297"/>
      <c r="H31" s="298"/>
      <c r="I31" s="289"/>
      <c r="J31" s="290"/>
      <c r="K31" s="462"/>
    </row>
    <row r="32" spans="1:16" ht="10.8" customHeight="1" x14ac:dyDescent="0.3">
      <c r="A32" s="460"/>
      <c r="B32" s="461"/>
      <c r="C32" s="285"/>
      <c r="D32" s="295"/>
      <c r="E32" s="296"/>
      <c r="F32" s="293"/>
      <c r="G32" s="297"/>
      <c r="H32" s="298"/>
      <c r="I32" s="289"/>
      <c r="J32" s="290"/>
      <c r="K32" s="462"/>
    </row>
    <row r="33" spans="1:11" ht="10.8" customHeight="1" x14ac:dyDescent="0.3">
      <c r="A33" s="460"/>
      <c r="B33" s="461"/>
      <c r="C33" s="285"/>
      <c r="D33" s="295"/>
      <c r="E33" s="296"/>
      <c r="F33" s="293"/>
      <c r="G33" s="297"/>
      <c r="H33" s="298"/>
      <c r="I33" s="289"/>
      <c r="J33" s="290"/>
      <c r="K33" s="462"/>
    </row>
    <row r="34" spans="1:11" ht="10.8" customHeight="1" x14ac:dyDescent="0.3">
      <c r="A34" s="460"/>
      <c r="B34" s="461"/>
      <c r="C34" s="285"/>
      <c r="D34" s="295"/>
      <c r="E34" s="296"/>
      <c r="F34" s="293"/>
      <c r="G34" s="297"/>
      <c r="H34" s="298"/>
      <c r="I34" s="289"/>
      <c r="J34" s="290"/>
      <c r="K34" s="462"/>
    </row>
    <row r="35" spans="1:11" ht="10.8" customHeight="1" x14ac:dyDescent="0.3">
      <c r="A35" s="460"/>
      <c r="B35" s="461"/>
      <c r="C35" s="285"/>
      <c r="D35" s="295"/>
      <c r="E35" s="296"/>
      <c r="F35" s="293"/>
      <c r="G35" s="297"/>
      <c r="H35" s="298"/>
      <c r="I35" s="289"/>
      <c r="J35" s="290"/>
      <c r="K35" s="462"/>
    </row>
    <row r="36" spans="1:11" ht="10.8" customHeight="1" x14ac:dyDescent="0.3">
      <c r="A36" s="460"/>
      <c r="B36" s="461"/>
      <c r="C36" s="285"/>
      <c r="D36" s="295"/>
      <c r="E36" s="296"/>
      <c r="F36" s="293"/>
      <c r="G36" s="297"/>
      <c r="H36" s="298"/>
      <c r="I36" s="289"/>
      <c r="J36" s="290"/>
      <c r="K36" s="462"/>
    </row>
    <row r="37" spans="1:11" ht="10.8" customHeight="1" x14ac:dyDescent="0.3">
      <c r="A37" s="460"/>
      <c r="B37" s="461"/>
      <c r="C37" s="285"/>
      <c r="D37" s="295"/>
      <c r="E37" s="296"/>
      <c r="F37" s="293"/>
      <c r="G37" s="297"/>
      <c r="H37" s="298"/>
      <c r="I37" s="289"/>
      <c r="J37" s="290"/>
      <c r="K37" s="462"/>
    </row>
    <row r="38" spans="1:11" ht="10.8" customHeight="1" x14ac:dyDescent="0.3">
      <c r="A38" s="460"/>
      <c r="B38" s="461"/>
      <c r="C38" s="285"/>
      <c r="D38" s="295"/>
      <c r="E38" s="296"/>
      <c r="F38" s="293"/>
      <c r="G38" s="297"/>
      <c r="H38" s="298"/>
      <c r="I38" s="289"/>
      <c r="J38" s="290"/>
      <c r="K38" s="462"/>
    </row>
    <row r="39" spans="1:11" ht="10.8" customHeight="1" x14ac:dyDescent="0.3">
      <c r="A39" s="460"/>
      <c r="B39" s="461"/>
      <c r="C39" s="285"/>
      <c r="D39" s="295"/>
      <c r="E39" s="296"/>
      <c r="F39" s="293"/>
      <c r="G39" s="297"/>
      <c r="H39" s="298"/>
      <c r="I39" s="289"/>
      <c r="J39" s="290"/>
      <c r="K39" s="462"/>
    </row>
    <row r="40" spans="1:11" ht="10.8" customHeight="1" x14ac:dyDescent="0.3">
      <c r="A40" s="460"/>
      <c r="B40" s="461"/>
      <c r="C40" s="285"/>
      <c r="D40" s="295"/>
      <c r="E40" s="296"/>
      <c r="F40" s="293"/>
      <c r="G40" s="297"/>
      <c r="H40" s="298"/>
      <c r="I40" s="289"/>
      <c r="J40" s="290"/>
      <c r="K40" s="462"/>
    </row>
    <row r="41" spans="1:11" ht="10.8" customHeight="1" x14ac:dyDescent="0.3">
      <c r="A41" s="460"/>
      <c r="B41" s="461"/>
      <c r="C41" s="285"/>
      <c r="D41" s="295"/>
      <c r="E41" s="296"/>
      <c r="F41" s="293"/>
      <c r="G41" s="297"/>
      <c r="H41" s="298"/>
      <c r="I41" s="289"/>
      <c r="J41" s="290"/>
      <c r="K41" s="462"/>
    </row>
    <row r="42" spans="1:11" ht="10.8" customHeight="1" x14ac:dyDescent="0.3">
      <c r="A42" s="460"/>
      <c r="B42" s="461"/>
      <c r="C42" s="285"/>
      <c r="D42" s="295"/>
      <c r="E42" s="296"/>
      <c r="F42" s="293"/>
      <c r="G42" s="297"/>
      <c r="H42" s="298"/>
      <c r="I42" s="289"/>
      <c r="J42" s="290"/>
      <c r="K42" s="462"/>
    </row>
    <row r="43" spans="1:11" ht="10.8" customHeight="1" x14ac:dyDescent="0.3">
      <c r="A43" s="460"/>
      <c r="B43" s="461"/>
      <c r="C43" s="285"/>
      <c r="D43" s="295"/>
      <c r="E43" s="296"/>
      <c r="F43" s="293"/>
      <c r="G43" s="297"/>
      <c r="H43" s="298"/>
      <c r="I43" s="289"/>
      <c r="J43" s="290"/>
      <c r="K43" s="462"/>
    </row>
    <row r="44" spans="1:11" ht="10.8" customHeight="1" x14ac:dyDescent="0.3">
      <c r="A44" s="460"/>
      <c r="B44" s="461"/>
      <c r="C44" s="285"/>
      <c r="D44" s="295"/>
      <c r="E44" s="296"/>
      <c r="F44" s="293"/>
      <c r="G44" s="297"/>
      <c r="H44" s="298"/>
      <c r="I44" s="289"/>
      <c r="J44" s="290"/>
      <c r="K44" s="462"/>
    </row>
    <row r="45" spans="1:11" ht="10.8" customHeight="1" x14ac:dyDescent="0.3">
      <c r="A45" s="460"/>
      <c r="B45" s="461"/>
      <c r="C45" s="285"/>
      <c r="D45" s="295"/>
      <c r="E45" s="296"/>
      <c r="F45" s="293"/>
      <c r="G45" s="297"/>
      <c r="H45" s="298"/>
      <c r="I45" s="289"/>
      <c r="J45" s="290"/>
      <c r="K45" s="462"/>
    </row>
    <row r="46" spans="1:11" ht="10.8" customHeight="1" x14ac:dyDescent="0.3">
      <c r="A46" s="460"/>
      <c r="B46" s="461"/>
      <c r="C46" s="285"/>
      <c r="D46" s="295"/>
      <c r="E46" s="296"/>
      <c r="F46" s="293"/>
      <c r="G46" s="297"/>
      <c r="H46" s="298"/>
      <c r="I46" s="289"/>
      <c r="J46" s="290"/>
      <c r="K46" s="462"/>
    </row>
    <row r="47" spans="1:11" ht="10.8" customHeight="1" x14ac:dyDescent="0.3">
      <c r="A47" s="460"/>
      <c r="B47" s="461"/>
      <c r="C47" s="285"/>
      <c r="D47" s="295"/>
      <c r="E47" s="296"/>
      <c r="F47" s="293"/>
      <c r="G47" s="297"/>
      <c r="H47" s="298"/>
      <c r="I47" s="289"/>
      <c r="J47" s="290"/>
      <c r="K47" s="462"/>
    </row>
    <row r="48" spans="1:11" ht="10.8" customHeight="1" x14ac:dyDescent="0.3">
      <c r="A48" s="460"/>
      <c r="B48" s="461"/>
      <c r="C48" s="285"/>
      <c r="D48" s="295"/>
      <c r="E48" s="296"/>
      <c r="F48" s="293"/>
      <c r="G48" s="297"/>
      <c r="H48" s="298"/>
      <c r="I48" s="289"/>
      <c r="J48" s="290"/>
      <c r="K48" s="462"/>
    </row>
    <row r="49" spans="1:11" ht="10.8" customHeight="1" x14ac:dyDescent="0.3">
      <c r="A49" s="460"/>
      <c r="B49" s="461"/>
      <c r="C49" s="285"/>
      <c r="D49" s="295"/>
      <c r="E49" s="296"/>
      <c r="F49" s="293"/>
      <c r="G49" s="297"/>
      <c r="H49" s="298"/>
      <c r="I49" s="289"/>
      <c r="J49" s="290"/>
      <c r="K49" s="462"/>
    </row>
    <row r="50" spans="1:11" ht="10.8" customHeight="1" x14ac:dyDescent="0.3">
      <c r="A50" s="460"/>
      <c r="B50" s="461"/>
      <c r="C50" s="285"/>
      <c r="D50" s="295"/>
      <c r="E50" s="296"/>
      <c r="F50" s="293"/>
      <c r="G50" s="297"/>
      <c r="H50" s="298"/>
      <c r="I50" s="289"/>
      <c r="J50" s="290"/>
      <c r="K50" s="462"/>
    </row>
    <row r="51" spans="1:11" ht="10.8" customHeight="1" x14ac:dyDescent="0.3">
      <c r="A51" s="460"/>
      <c r="B51" s="461"/>
      <c r="C51" s="285"/>
      <c r="D51" s="295"/>
      <c r="E51" s="296"/>
      <c r="F51" s="293"/>
      <c r="G51" s="297"/>
      <c r="H51" s="298"/>
      <c r="I51" s="289"/>
      <c r="J51" s="290"/>
      <c r="K51" s="462"/>
    </row>
    <row r="52" spans="1:11" ht="10.8" customHeight="1" x14ac:dyDescent="0.3">
      <c r="A52" s="460"/>
      <c r="B52" s="461"/>
      <c r="C52" s="285"/>
      <c r="D52" s="295"/>
      <c r="E52" s="296"/>
      <c r="F52" s="293"/>
      <c r="G52" s="297"/>
      <c r="H52" s="298"/>
      <c r="I52" s="289"/>
      <c r="J52" s="290"/>
      <c r="K52" s="462"/>
    </row>
    <row r="53" spans="1:11" ht="10.8" customHeight="1" x14ac:dyDescent="0.3">
      <c r="A53" s="460"/>
      <c r="B53" s="461"/>
      <c r="C53" s="285"/>
      <c r="D53" s="295"/>
      <c r="E53" s="296"/>
      <c r="F53" s="293"/>
      <c r="G53" s="297"/>
      <c r="H53" s="298"/>
      <c r="I53" s="289"/>
      <c r="J53" s="290"/>
      <c r="K53" s="462"/>
    </row>
    <row r="54" spans="1:11" ht="10.8" customHeight="1" x14ac:dyDescent="0.3">
      <c r="A54" s="460"/>
      <c r="B54" s="461"/>
      <c r="C54" s="285"/>
      <c r="D54" s="295"/>
      <c r="E54" s="296"/>
      <c r="F54" s="293"/>
      <c r="G54" s="297"/>
      <c r="H54" s="298"/>
      <c r="I54" s="289"/>
      <c r="J54" s="290"/>
      <c r="K54" s="462"/>
    </row>
    <row r="55" spans="1:11" ht="10.8" customHeight="1" x14ac:dyDescent="0.3">
      <c r="A55" s="460"/>
      <c r="B55" s="461"/>
      <c r="C55" s="285"/>
      <c r="D55" s="295"/>
      <c r="E55" s="296"/>
      <c r="F55" s="293"/>
      <c r="G55" s="297"/>
      <c r="H55" s="298"/>
      <c r="I55" s="289"/>
      <c r="J55" s="290"/>
      <c r="K55" s="462"/>
    </row>
    <row r="56" spans="1:11" ht="10.8" customHeight="1" x14ac:dyDescent="0.3">
      <c r="A56" s="460"/>
      <c r="B56" s="461"/>
      <c r="C56" s="285"/>
      <c r="D56" s="295"/>
      <c r="E56" s="296"/>
      <c r="F56" s="293"/>
      <c r="G56" s="297"/>
      <c r="H56" s="298"/>
      <c r="I56" s="289"/>
      <c r="J56" s="290"/>
      <c r="K56" s="462"/>
    </row>
    <row r="57" spans="1:11" ht="10.8" customHeight="1" x14ac:dyDescent="0.3">
      <c r="A57" s="460"/>
      <c r="B57" s="461"/>
      <c r="C57" s="285"/>
      <c r="D57" s="295"/>
      <c r="E57" s="296"/>
      <c r="F57" s="293"/>
      <c r="G57" s="297"/>
      <c r="H57" s="298"/>
      <c r="I57" s="289"/>
      <c r="J57" s="290"/>
      <c r="K57" s="462"/>
    </row>
    <row r="58" spans="1:11" ht="10.8" customHeight="1" x14ac:dyDescent="0.3">
      <c r="A58" s="460"/>
      <c r="B58" s="461"/>
      <c r="C58" s="285"/>
      <c r="D58" s="295"/>
      <c r="E58" s="296"/>
      <c r="F58" s="293"/>
      <c r="G58" s="297"/>
      <c r="H58" s="298"/>
      <c r="I58" s="289"/>
      <c r="J58" s="290"/>
      <c r="K58" s="462"/>
    </row>
    <row r="59" spans="1:11" ht="10.8" customHeight="1" x14ac:dyDescent="0.3">
      <c r="A59" s="460"/>
      <c r="B59" s="461"/>
      <c r="C59" s="285"/>
      <c r="D59" s="295"/>
      <c r="E59" s="296"/>
      <c r="F59" s="293"/>
      <c r="G59" s="297"/>
      <c r="H59" s="298"/>
      <c r="I59" s="289"/>
      <c r="J59" s="290"/>
      <c r="K59" s="462"/>
    </row>
    <row r="60" spans="1:11" ht="10.8" customHeight="1" x14ac:dyDescent="0.3">
      <c r="A60" s="460"/>
      <c r="B60" s="461"/>
      <c r="C60" s="285"/>
      <c r="D60" s="295"/>
      <c r="E60" s="296"/>
      <c r="F60" s="293"/>
      <c r="G60" s="297"/>
      <c r="H60" s="298"/>
      <c r="I60" s="289"/>
      <c r="J60" s="290"/>
      <c r="K60" s="462"/>
    </row>
    <row r="61" spans="1:11" ht="10.8" customHeight="1" x14ac:dyDescent="0.3">
      <c r="A61" s="460"/>
      <c r="B61" s="461"/>
      <c r="C61" s="285"/>
      <c r="D61" s="295"/>
      <c r="E61" s="296"/>
      <c r="F61" s="293"/>
      <c r="G61" s="297"/>
      <c r="H61" s="298"/>
      <c r="I61" s="289"/>
      <c r="J61" s="290"/>
      <c r="K61" s="462"/>
    </row>
    <row r="62" spans="1:11" ht="10.8" customHeight="1" x14ac:dyDescent="0.3">
      <c r="A62" s="460"/>
      <c r="B62" s="461"/>
      <c r="C62" s="285"/>
      <c r="D62" s="295"/>
      <c r="E62" s="296"/>
      <c r="F62" s="293"/>
      <c r="G62" s="297"/>
      <c r="H62" s="298"/>
      <c r="I62" s="289"/>
      <c r="J62" s="290"/>
      <c r="K62" s="462"/>
    </row>
    <row r="63" spans="1:11" ht="10.8" customHeight="1" x14ac:dyDescent="0.3">
      <c r="A63" s="460"/>
      <c r="B63" s="461"/>
      <c r="C63" s="285"/>
      <c r="D63" s="295"/>
      <c r="E63" s="296"/>
      <c r="F63" s="293"/>
      <c r="G63" s="297"/>
      <c r="H63" s="298"/>
      <c r="I63" s="289"/>
      <c r="J63" s="290"/>
      <c r="K63" s="462"/>
    </row>
    <row r="64" spans="1:11" ht="10.8" customHeight="1" x14ac:dyDescent="0.3">
      <c r="A64" s="460"/>
      <c r="B64" s="461"/>
      <c r="C64" s="285"/>
      <c r="D64" s="295"/>
      <c r="E64" s="296"/>
      <c r="F64" s="293"/>
      <c r="G64" s="297"/>
      <c r="H64" s="298"/>
      <c r="I64" s="289"/>
      <c r="J64" s="290"/>
      <c r="K64" s="462"/>
    </row>
    <row r="65" spans="1:15" ht="10.8" customHeight="1" x14ac:dyDescent="0.3">
      <c r="A65" s="300"/>
      <c r="B65" s="461"/>
      <c r="C65" s="285"/>
      <c r="D65" s="295"/>
      <c r="E65" s="296"/>
      <c r="F65" s="293"/>
      <c r="G65" s="297"/>
      <c r="H65" s="298"/>
      <c r="I65" s="289"/>
      <c r="J65" s="290"/>
      <c r="K65" s="462"/>
    </row>
    <row r="66" spans="1:15" ht="10.199999999999999" customHeight="1" x14ac:dyDescent="0.3">
      <c r="A66" s="529"/>
      <c r="B66" s="300"/>
      <c r="C66" s="301" t="s">
        <v>211</v>
      </c>
      <c r="D66" s="295"/>
      <c r="E66" s="296"/>
      <c r="F66" s="293"/>
      <c r="G66" s="296"/>
      <c r="H66" s="298"/>
      <c r="I66" s="289"/>
      <c r="J66" s="290"/>
      <c r="K66" s="302"/>
    </row>
    <row r="67" spans="1:15" x14ac:dyDescent="0.3">
      <c r="B67" s="25"/>
      <c r="C67" s="26"/>
      <c r="D67" s="27"/>
      <c r="E67" s="27"/>
      <c r="F67" s="27"/>
      <c r="G67" s="28"/>
      <c r="H67" s="29"/>
      <c r="I67" s="30"/>
      <c r="J67" s="31"/>
      <c r="K67" s="32"/>
    </row>
    <row r="68" spans="1:15" x14ac:dyDescent="0.3">
      <c r="B68" s="3"/>
      <c r="C68" s="3"/>
      <c r="D68" s="3"/>
      <c r="E68" s="3"/>
      <c r="F68" s="3"/>
      <c r="G68" s="3"/>
      <c r="H68" s="3"/>
      <c r="I68" s="3"/>
      <c r="J68" s="32"/>
      <c r="K68" s="3"/>
    </row>
    <row r="69" spans="1:15" x14ac:dyDescent="0.3">
      <c r="B69" s="3"/>
      <c r="C69" s="3"/>
      <c r="D69" s="3"/>
      <c r="E69" s="3"/>
      <c r="F69" s="3"/>
      <c r="G69" s="3"/>
      <c r="H69" s="3"/>
      <c r="I69" s="3"/>
      <c r="J69" s="32"/>
      <c r="K69" s="3"/>
    </row>
    <row r="70" spans="1:15" x14ac:dyDescent="0.3">
      <c r="B70" s="3"/>
      <c r="C70" s="3"/>
      <c r="D70" s="3"/>
      <c r="E70" s="3"/>
      <c r="F70" s="3"/>
      <c r="G70" s="3"/>
      <c r="H70" s="3"/>
      <c r="I70" s="3"/>
      <c r="J70" s="32"/>
      <c r="K70" s="3"/>
    </row>
    <row r="71" spans="1:15" ht="73.2" customHeight="1" x14ac:dyDescent="0.3">
      <c r="B71" s="3"/>
      <c r="C71" s="3"/>
      <c r="D71" s="3"/>
      <c r="E71" s="3"/>
      <c r="F71" s="3"/>
      <c r="G71" s="3"/>
      <c r="H71" s="3"/>
      <c r="I71" s="3"/>
      <c r="J71" s="32"/>
      <c r="K71" s="3"/>
    </row>
    <row r="72" spans="1:15" ht="40.799999999999997" customHeight="1" x14ac:dyDescent="0.3">
      <c r="B72" s="3"/>
      <c r="C72" s="3"/>
      <c r="D72" s="3"/>
      <c r="E72" s="3"/>
      <c r="F72" s="3"/>
      <c r="G72" s="3"/>
      <c r="H72" s="3"/>
      <c r="I72" s="3"/>
      <c r="J72" s="32"/>
      <c r="K72" s="3"/>
    </row>
    <row r="73" spans="1:15" ht="16.8" customHeight="1" x14ac:dyDescent="0.3">
      <c r="B73" s="3"/>
      <c r="C73" s="3"/>
      <c r="D73" s="3"/>
      <c r="E73" s="3"/>
      <c r="F73" s="3"/>
      <c r="G73" s="3"/>
      <c r="H73" s="3"/>
      <c r="I73" s="3"/>
      <c r="J73" s="32"/>
      <c r="K73" s="3"/>
    </row>
    <row r="74" spans="1:15" ht="10.8" customHeight="1" x14ac:dyDescent="0.3">
      <c r="A74" s="170" t="s">
        <v>516</v>
      </c>
      <c r="B74" s="412"/>
      <c r="C74" s="412"/>
      <c r="D74" s="412"/>
      <c r="E74" s="412"/>
      <c r="F74" s="412"/>
      <c r="G74" s="412"/>
      <c r="H74" s="412"/>
      <c r="I74" s="412"/>
      <c r="J74" s="412"/>
      <c r="K74" s="412"/>
    </row>
    <row r="75" spans="1:15" ht="15" customHeight="1" x14ac:dyDescent="0.3">
      <c r="A75" s="170"/>
      <c r="B75" s="3"/>
      <c r="C75" s="3"/>
      <c r="D75" s="3"/>
      <c r="E75" s="3"/>
      <c r="F75" s="3"/>
      <c r="G75" s="3"/>
      <c r="H75" s="3"/>
      <c r="I75" s="3"/>
      <c r="J75" s="32"/>
      <c r="K75" s="3"/>
      <c r="N75" s="703"/>
    </row>
    <row r="76" spans="1:15" ht="16.5" customHeight="1" x14ac:dyDescent="0.3">
      <c r="A76" s="3"/>
      <c r="B76" s="168"/>
      <c r="C76" s="169"/>
      <c r="D76" s="169"/>
      <c r="E76" s="169"/>
      <c r="F76" s="169"/>
      <c r="G76" s="169"/>
      <c r="H76" s="169"/>
      <c r="I76" s="169"/>
      <c r="J76" s="418"/>
      <c r="K76" s="169"/>
      <c r="O76" t="s">
        <v>96</v>
      </c>
    </row>
    <row r="77" spans="1:15" x14ac:dyDescent="0.3">
      <c r="A77" s="35"/>
      <c r="B77" s="3"/>
      <c r="C77" s="3"/>
      <c r="D77" s="3"/>
      <c r="E77" s="3"/>
      <c r="F77" s="3"/>
      <c r="G77" s="3"/>
      <c r="H77" s="3"/>
      <c r="I77" s="3"/>
      <c r="J77" s="32"/>
      <c r="K77" s="3"/>
    </row>
    <row r="78" spans="1:15" x14ac:dyDescent="0.3">
      <c r="A78" s="14"/>
      <c r="B78" s="3"/>
      <c r="C78" s="3"/>
      <c r="D78" s="3"/>
      <c r="E78" s="3"/>
      <c r="F78" s="3"/>
      <c r="G78" s="3"/>
      <c r="H78" s="3"/>
      <c r="I78" s="3"/>
      <c r="J78" s="32"/>
      <c r="K78" s="3"/>
    </row>
    <row r="79" spans="1:15" ht="15" customHeight="1" x14ac:dyDescent="0.3">
      <c r="A79" s="13"/>
      <c r="B79" s="411"/>
      <c r="C79" s="411"/>
      <c r="D79" s="411"/>
      <c r="E79" s="411"/>
      <c r="F79" s="411"/>
      <c r="G79" s="411"/>
      <c r="H79" s="411"/>
      <c r="I79" s="411"/>
      <c r="J79" s="411"/>
      <c r="K79" s="411"/>
    </row>
    <row r="80" spans="1:15" ht="15" customHeight="1" x14ac:dyDescent="0.3">
      <c r="A80" s="13"/>
      <c r="B80" s="3"/>
      <c r="C80" s="3"/>
      <c r="D80" s="3"/>
      <c r="E80" s="3"/>
      <c r="F80" s="3"/>
      <c r="G80" s="3"/>
      <c r="H80" s="3"/>
      <c r="I80" s="3"/>
      <c r="J80" s="32"/>
      <c r="K80" s="3"/>
    </row>
    <row r="82" spans="1:11" ht="15.75" customHeight="1" x14ac:dyDescent="0.3">
      <c r="A82" s="13"/>
    </row>
    <row r="83" spans="1:11" x14ac:dyDescent="0.3">
      <c r="B83" s="1"/>
    </row>
    <row r="84" spans="1:11" x14ac:dyDescent="0.3">
      <c r="A84" s="13"/>
    </row>
    <row r="85" spans="1:11" x14ac:dyDescent="0.3">
      <c r="A85" s="13"/>
      <c r="B85" s="1"/>
    </row>
    <row r="86" spans="1:11" x14ac:dyDescent="0.3">
      <c r="B86" s="3"/>
      <c r="C86" s="3"/>
      <c r="D86" s="3"/>
      <c r="E86" s="3"/>
      <c r="F86" s="3"/>
      <c r="G86" s="3"/>
      <c r="H86" s="3"/>
      <c r="I86" s="3"/>
      <c r="J86" s="32"/>
      <c r="K86" s="3"/>
    </row>
    <row r="87" spans="1:11" ht="22.5" customHeight="1" x14ac:dyDescent="0.3">
      <c r="A87" s="13"/>
    </row>
    <row r="88" spans="1:11" x14ac:dyDescent="0.3">
      <c r="A88" s="13"/>
      <c r="B88" s="14"/>
      <c r="C88" s="14"/>
      <c r="D88" s="14"/>
      <c r="E88" s="14"/>
      <c r="F88" s="14"/>
      <c r="G88" s="14"/>
      <c r="H88" s="14"/>
      <c r="I88" s="14"/>
      <c r="J88" s="14"/>
      <c r="K88" s="14"/>
    </row>
    <row r="89" spans="1:11" x14ac:dyDescent="0.3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</row>
    <row r="90" spans="1:11" x14ac:dyDescent="0.3">
      <c r="A90" s="3"/>
      <c r="B90" s="13"/>
      <c r="C90" s="13"/>
      <c r="D90" s="13"/>
      <c r="E90" s="13"/>
      <c r="F90" s="13"/>
      <c r="G90" s="13"/>
      <c r="H90" s="13"/>
      <c r="I90" s="13"/>
      <c r="J90" s="13"/>
      <c r="K90" s="13"/>
    </row>
    <row r="91" spans="1:11" x14ac:dyDescent="0.3">
      <c r="A91" s="3"/>
      <c r="B91" s="13"/>
      <c r="C91" s="13"/>
      <c r="D91" s="13"/>
      <c r="E91" s="13"/>
      <c r="F91" s="13"/>
      <c r="G91" s="13"/>
      <c r="H91" s="13"/>
      <c r="I91" s="13"/>
      <c r="J91" s="410"/>
      <c r="K91" s="13"/>
    </row>
    <row r="92" spans="1:11" x14ac:dyDescent="0.3">
      <c r="A92" s="3"/>
      <c r="B92" s="13"/>
      <c r="C92" s="13"/>
      <c r="D92" s="13"/>
      <c r="E92" s="13"/>
      <c r="F92" s="13"/>
      <c r="H92" s="14"/>
      <c r="I92" s="13"/>
      <c r="J92" s="410"/>
      <c r="K92" s="410"/>
    </row>
    <row r="93" spans="1:11" x14ac:dyDescent="0.3">
      <c r="A93" s="3"/>
      <c r="B93" s="13"/>
      <c r="C93" s="13"/>
      <c r="D93" s="13"/>
      <c r="E93" s="13"/>
      <c r="F93" s="13"/>
      <c r="H93" s="13"/>
      <c r="I93" s="13"/>
      <c r="J93" s="410"/>
      <c r="K93" s="13"/>
    </row>
    <row r="94" spans="1:11" x14ac:dyDescent="0.3">
      <c r="A94" s="3"/>
      <c r="B94" s="13"/>
      <c r="C94" s="13"/>
      <c r="D94" s="13"/>
      <c r="E94" s="13"/>
      <c r="F94" s="13"/>
      <c r="H94" s="3"/>
      <c r="I94" s="3"/>
      <c r="J94" s="32"/>
      <c r="K94" s="3"/>
    </row>
    <row r="95" spans="1:11" x14ac:dyDescent="0.3">
      <c r="A95" s="3"/>
      <c r="B95" s="13"/>
      <c r="C95" s="13"/>
      <c r="D95" s="13"/>
      <c r="E95" s="13"/>
      <c r="F95" s="13"/>
      <c r="H95" s="3"/>
      <c r="I95" s="3"/>
      <c r="J95" s="32"/>
      <c r="K95" s="3"/>
    </row>
    <row r="96" spans="1:11" x14ac:dyDescent="0.3">
      <c r="A96" s="3"/>
      <c r="B96" s="13"/>
      <c r="C96" s="13"/>
      <c r="D96" s="13"/>
      <c r="E96" s="13"/>
      <c r="F96" s="13"/>
      <c r="H96" s="3"/>
      <c r="I96" s="3"/>
      <c r="J96" s="32"/>
      <c r="K96" s="3"/>
    </row>
    <row r="97" spans="1:11" x14ac:dyDescent="0.3">
      <c r="A97" s="3"/>
      <c r="B97" s="13"/>
      <c r="C97" s="13"/>
      <c r="D97" s="13"/>
      <c r="E97" s="13"/>
      <c r="F97" s="13"/>
      <c r="H97" s="3"/>
      <c r="I97" s="3"/>
      <c r="J97" s="32"/>
      <c r="K97" s="3"/>
    </row>
    <row r="98" spans="1:11" x14ac:dyDescent="0.3">
      <c r="B98" s="13"/>
      <c r="C98" s="13"/>
      <c r="D98" s="13"/>
      <c r="E98" s="13"/>
      <c r="F98" s="13"/>
      <c r="H98" s="3"/>
      <c r="I98" s="3"/>
      <c r="J98" s="32"/>
      <c r="K98" s="3"/>
    </row>
    <row r="99" spans="1:11" x14ac:dyDescent="0.3">
      <c r="A99" s="3"/>
    </row>
    <row r="100" spans="1:1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2"/>
      <c r="K100" s="3"/>
    </row>
    <row r="101" spans="1:1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2"/>
      <c r="K101" s="3"/>
    </row>
    <row r="102" spans="1:11" x14ac:dyDescent="0.3">
      <c r="A102" s="409"/>
      <c r="B102" s="3"/>
      <c r="C102" s="3"/>
      <c r="D102" s="3"/>
      <c r="E102" s="3"/>
      <c r="F102" s="3"/>
      <c r="G102" s="3"/>
      <c r="H102" s="3"/>
      <c r="I102" s="3"/>
      <c r="J102" s="32"/>
      <c r="K102" s="3"/>
    </row>
    <row r="103" spans="1:11" x14ac:dyDescent="0.3">
      <c r="B103" s="3"/>
      <c r="C103" s="3"/>
      <c r="D103" s="3"/>
      <c r="E103" s="3"/>
      <c r="F103" s="3"/>
      <c r="G103" s="3"/>
      <c r="H103" s="3"/>
      <c r="I103" s="3"/>
      <c r="J103" s="32"/>
      <c r="K103" s="3"/>
    </row>
  </sheetData>
  <autoFilter ref="A19:K22" xr:uid="{00000000-0009-0000-0000-000008000000}">
    <filterColumn colId="3" showButton="0"/>
    <filterColumn colId="4" showButton="0"/>
    <filterColumn colId="5" showButton="0"/>
  </autoFilter>
  <mergeCells count="12">
    <mergeCell ref="J19:J20"/>
    <mergeCell ref="K19:K20"/>
    <mergeCell ref="K1:K3"/>
    <mergeCell ref="A7:K7"/>
    <mergeCell ref="A8:K8"/>
    <mergeCell ref="A9:K9"/>
    <mergeCell ref="A19:A20"/>
    <mergeCell ref="B19:B20"/>
    <mergeCell ref="C19:C20"/>
    <mergeCell ref="D19:G19"/>
    <mergeCell ref="H19:H20"/>
    <mergeCell ref="I19:I20"/>
  </mergeCells>
  <pageMargins left="0.51181102362204722" right="0.31496062992125984" top="0.27559055118110237" bottom="0.27559055118110237" header="0.19685039370078741" footer="0.19685039370078741"/>
  <pageSetup paperSize="14" scale="91" fitToHeight="0" orientation="portrait" horizontalDpi="4294967292" verticalDpi="4294967292" r:id="rId1"/>
  <rowBreaks count="1" manualBreakCount="1">
    <brk id="76" max="16383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0.39997558519241921"/>
    <pageSetUpPr fitToPage="1"/>
  </sheetPr>
  <dimension ref="A1:P108"/>
  <sheetViews>
    <sheetView topLeftCell="A58" zoomScale="122" zoomScaleNormal="122" zoomScaleSheetLayoutView="145" zoomScalePageLayoutView="106" workbookViewId="0">
      <selection activeCell="M8" sqref="M8"/>
    </sheetView>
  </sheetViews>
  <sheetFormatPr defaultColWidth="8.88671875" defaultRowHeight="14.4" x14ac:dyDescent="0.3"/>
  <cols>
    <col min="1" max="1" width="4.44140625" customWidth="1"/>
    <col min="2" max="2" width="14" customWidth="1"/>
    <col min="3" max="3" width="30" customWidth="1"/>
    <col min="4" max="4" width="7.109375" customWidth="1"/>
    <col min="5" max="5" width="7.44140625" customWidth="1"/>
    <col min="6" max="6" width="7.44140625" hidden="1" customWidth="1"/>
    <col min="7" max="7" width="6.21875" customWidth="1"/>
    <col min="8" max="8" width="6.6640625" customWidth="1"/>
    <col min="9" max="9" width="7.21875" customWidth="1"/>
    <col min="10" max="10" width="9.44140625" style="9" customWidth="1"/>
    <col min="11" max="11" width="15.33203125" customWidth="1"/>
  </cols>
  <sheetData>
    <row r="1" spans="1:16" ht="12.75" customHeight="1" x14ac:dyDescent="0.3">
      <c r="B1" s="1" t="s">
        <v>39</v>
      </c>
      <c r="K1" s="541"/>
    </row>
    <row r="2" spans="1:16" ht="12" customHeight="1" x14ac:dyDescent="0.3">
      <c r="B2" s="2" t="s">
        <v>48</v>
      </c>
      <c r="K2" s="541"/>
    </row>
    <row r="3" spans="1:16" ht="13.5" customHeight="1" x14ac:dyDescent="0.3">
      <c r="B3" s="1" t="s">
        <v>38</v>
      </c>
      <c r="K3" s="541"/>
    </row>
    <row r="4" spans="1:16" ht="6.75" customHeight="1" x14ac:dyDescent="0.3">
      <c r="A4" s="3"/>
      <c r="B4" s="3"/>
      <c r="C4" s="3"/>
      <c r="D4" s="3"/>
      <c r="E4" s="3"/>
      <c r="F4" s="3"/>
      <c r="G4" s="3"/>
      <c r="H4" s="3"/>
      <c r="I4" s="3"/>
      <c r="J4" s="32"/>
      <c r="K4" s="3"/>
    </row>
    <row r="5" spans="1:16" ht="16.5" customHeight="1" x14ac:dyDescent="0.3">
      <c r="A5" s="55" t="s">
        <v>53</v>
      </c>
      <c r="B5" s="52"/>
      <c r="C5" s="52"/>
      <c r="D5" s="52"/>
      <c r="E5" s="52"/>
      <c r="F5" s="52"/>
      <c r="G5" s="52"/>
      <c r="H5" s="52"/>
      <c r="I5" s="52"/>
      <c r="J5" s="56"/>
      <c r="K5" s="52"/>
    </row>
    <row r="6" spans="1:16" ht="3" hidden="1" customHeight="1" x14ac:dyDescent="0.3">
      <c r="A6" s="55"/>
      <c r="B6" s="52"/>
      <c r="C6" s="52"/>
      <c r="D6" s="52"/>
      <c r="E6" s="52"/>
      <c r="F6" s="52"/>
      <c r="G6" s="52"/>
      <c r="H6" s="52"/>
      <c r="I6" s="52"/>
      <c r="J6" s="56"/>
      <c r="K6" s="52"/>
    </row>
    <row r="7" spans="1:16" ht="12.6" customHeight="1" x14ac:dyDescent="0.3">
      <c r="A7" s="693" t="s">
        <v>0</v>
      </c>
      <c r="B7" s="693"/>
      <c r="C7" s="693"/>
      <c r="D7" s="693"/>
      <c r="E7" s="693"/>
      <c r="F7" s="693"/>
      <c r="G7" s="693"/>
      <c r="H7" s="693"/>
      <c r="I7" s="693"/>
      <c r="J7" s="693"/>
      <c r="K7" s="693"/>
    </row>
    <row r="8" spans="1:16" ht="13.2" customHeight="1" x14ac:dyDescent="0.3">
      <c r="A8" s="533" t="s">
        <v>313</v>
      </c>
      <c r="B8" s="533"/>
      <c r="C8" s="533"/>
      <c r="D8" s="533"/>
      <c r="E8" s="533"/>
      <c r="F8" s="533"/>
      <c r="G8" s="533"/>
      <c r="H8" s="533"/>
      <c r="I8" s="533"/>
      <c r="J8" s="533"/>
      <c r="K8" s="533"/>
    </row>
    <row r="9" spans="1:16" ht="13.8" customHeight="1" x14ac:dyDescent="0.3">
      <c r="A9" s="533" t="s">
        <v>314</v>
      </c>
      <c r="B9" s="533"/>
      <c r="C9" s="533"/>
      <c r="D9" s="533"/>
      <c r="E9" s="533"/>
      <c r="F9" s="533"/>
      <c r="G9" s="533"/>
      <c r="H9" s="533"/>
      <c r="I9" s="533"/>
      <c r="J9" s="533"/>
      <c r="K9" s="533"/>
    </row>
    <row r="10" spans="1:16" ht="4.8" customHeight="1" x14ac:dyDescent="0.3">
      <c r="A10" s="13"/>
      <c r="B10" s="13"/>
      <c r="C10" s="13"/>
      <c r="D10" s="13"/>
      <c r="E10" s="13"/>
      <c r="F10" s="13"/>
      <c r="G10" s="13"/>
      <c r="H10" s="13"/>
      <c r="I10" s="13"/>
      <c r="J10" s="15"/>
      <c r="K10" s="13"/>
    </row>
    <row r="11" spans="1:16" ht="13.8" customHeight="1" x14ac:dyDescent="0.3">
      <c r="A11" s="13" t="s">
        <v>43</v>
      </c>
      <c r="B11" s="52"/>
      <c r="C11" s="53" t="s">
        <v>85</v>
      </c>
      <c r="D11" s="473"/>
      <c r="E11" s="38"/>
      <c r="F11" s="13"/>
      <c r="H11" s="57" t="s">
        <v>1</v>
      </c>
      <c r="I11" s="52"/>
      <c r="J11" s="56"/>
      <c r="K11" s="56">
        <v>49</v>
      </c>
    </row>
    <row r="12" spans="1:16" ht="12.75" customHeight="1" x14ac:dyDescent="0.3">
      <c r="A12" s="13" t="s">
        <v>44</v>
      </c>
      <c r="B12" s="520"/>
      <c r="C12" s="279" t="s">
        <v>64</v>
      </c>
      <c r="D12" s="39"/>
      <c r="E12" s="38"/>
      <c r="F12" s="13"/>
      <c r="H12" s="52" t="s">
        <v>2</v>
      </c>
      <c r="I12" s="52"/>
      <c r="J12" s="56"/>
      <c r="K12" s="56"/>
      <c r="P12" t="s">
        <v>96</v>
      </c>
    </row>
    <row r="13" spans="1:16" ht="12.6" customHeight="1" x14ac:dyDescent="0.3">
      <c r="A13" s="223" t="s">
        <v>45</v>
      </c>
      <c r="B13" s="520"/>
      <c r="C13" s="54" t="s">
        <v>86</v>
      </c>
      <c r="D13" s="38"/>
      <c r="E13" s="39"/>
      <c r="F13" s="13"/>
      <c r="H13" s="52"/>
      <c r="I13" s="52" t="s">
        <v>3</v>
      </c>
      <c r="J13" s="56"/>
      <c r="K13" s="56">
        <v>0</v>
      </c>
    </row>
    <row r="14" spans="1:16" ht="12" customHeight="1" x14ac:dyDescent="0.3">
      <c r="A14" s="13" t="s">
        <v>46</v>
      </c>
      <c r="B14" s="52"/>
      <c r="C14" s="279" t="s">
        <v>87</v>
      </c>
      <c r="D14" s="39"/>
      <c r="E14" s="39"/>
      <c r="F14" s="13"/>
      <c r="H14" s="52"/>
      <c r="I14" s="282" t="s">
        <v>4</v>
      </c>
      <c r="J14" s="56"/>
      <c r="K14" s="277">
        <v>0</v>
      </c>
      <c r="M14" t="s">
        <v>96</v>
      </c>
    </row>
    <row r="15" spans="1:16" ht="12.75" customHeight="1" x14ac:dyDescent="0.3">
      <c r="A15" s="13" t="s">
        <v>47</v>
      </c>
      <c r="B15" s="52"/>
      <c r="C15" s="279" t="s">
        <v>315</v>
      </c>
      <c r="D15" s="39"/>
      <c r="E15" s="280"/>
      <c r="F15" s="13"/>
      <c r="H15" s="52"/>
      <c r="I15" s="282" t="s">
        <v>5</v>
      </c>
      <c r="J15" s="56"/>
      <c r="K15" s="56">
        <v>0</v>
      </c>
    </row>
    <row r="16" spans="1:16" ht="12.75" customHeight="1" x14ac:dyDescent="0.3">
      <c r="A16" s="13"/>
      <c r="B16" s="13"/>
      <c r="C16" s="13"/>
      <c r="D16" s="13"/>
      <c r="E16" s="13"/>
      <c r="F16" s="13"/>
      <c r="H16" s="52"/>
      <c r="I16" s="52" t="s">
        <v>6</v>
      </c>
      <c r="J16" s="56"/>
      <c r="K16" s="277">
        <v>9</v>
      </c>
      <c r="P16" s="474"/>
    </row>
    <row r="17" spans="1:14" ht="12.75" customHeight="1" x14ac:dyDescent="0.3">
      <c r="A17" s="13"/>
      <c r="B17" s="13"/>
      <c r="C17" s="13"/>
      <c r="D17" s="13"/>
      <c r="E17" s="13"/>
      <c r="F17" s="13"/>
      <c r="H17" s="52"/>
      <c r="I17" s="52" t="s">
        <v>7</v>
      </c>
      <c r="J17" s="56"/>
      <c r="K17" s="172">
        <v>40</v>
      </c>
    </row>
    <row r="18" spans="1:14" ht="8.4" customHeight="1" x14ac:dyDescent="0.3">
      <c r="A18" s="13"/>
      <c r="B18" s="13"/>
      <c r="C18" s="13"/>
      <c r="D18" s="13"/>
      <c r="E18" s="13"/>
      <c r="F18" s="13"/>
      <c r="G18" s="13"/>
      <c r="H18" s="13"/>
      <c r="I18" s="13"/>
      <c r="J18" s="15"/>
      <c r="K18" s="13"/>
    </row>
    <row r="19" spans="1:14" ht="11.25" customHeight="1" x14ac:dyDescent="0.3">
      <c r="A19" s="697" t="s">
        <v>8</v>
      </c>
      <c r="B19" s="695" t="s">
        <v>9</v>
      </c>
      <c r="C19" s="695" t="s">
        <v>51</v>
      </c>
      <c r="D19" s="699" t="s">
        <v>12</v>
      </c>
      <c r="E19" s="700"/>
      <c r="F19" s="700"/>
      <c r="G19" s="701"/>
      <c r="H19" s="695" t="s">
        <v>14</v>
      </c>
      <c r="I19" s="695" t="s">
        <v>13</v>
      </c>
      <c r="J19" s="695" t="s">
        <v>54</v>
      </c>
      <c r="K19" s="695" t="s">
        <v>16</v>
      </c>
    </row>
    <row r="20" spans="1:14" ht="19.8" customHeight="1" x14ac:dyDescent="0.3">
      <c r="A20" s="698"/>
      <c r="B20" s="696"/>
      <c r="C20" s="696"/>
      <c r="D20" s="276" t="s">
        <v>10</v>
      </c>
      <c r="E20" s="276" t="s">
        <v>15</v>
      </c>
      <c r="F20" s="37"/>
      <c r="G20" s="188" t="s">
        <v>11</v>
      </c>
      <c r="H20" s="696"/>
      <c r="I20" s="696"/>
      <c r="J20" s="696"/>
      <c r="K20" s="696"/>
    </row>
    <row r="21" spans="1:14" ht="9.6" customHeight="1" x14ac:dyDescent="0.3">
      <c r="A21" s="60"/>
      <c r="B21" s="48"/>
      <c r="C21" s="47" t="s">
        <v>35</v>
      </c>
      <c r="D21" s="466"/>
      <c r="E21" s="466"/>
      <c r="F21" s="12"/>
      <c r="G21" s="12"/>
      <c r="H21" s="12"/>
      <c r="I21" s="12"/>
      <c r="J21" s="12"/>
      <c r="K21" s="11"/>
    </row>
    <row r="22" spans="1:14" ht="12" customHeight="1" x14ac:dyDescent="0.3">
      <c r="A22" s="283">
        <v>1</v>
      </c>
      <c r="B22" s="284" t="s">
        <v>99</v>
      </c>
      <c r="C22" s="422" t="s">
        <v>100</v>
      </c>
      <c r="D22" s="468" t="s">
        <v>93</v>
      </c>
      <c r="E22" s="443" t="s">
        <v>93</v>
      </c>
      <c r="F22" s="286"/>
      <c r="G22" s="288" t="s">
        <v>95</v>
      </c>
      <c r="H22" s="284"/>
      <c r="I22" s="289">
        <v>0</v>
      </c>
      <c r="J22" s="471">
        <f t="shared" ref="J22:J37" si="0">(M22+N22)</f>
        <v>19.5</v>
      </c>
      <c r="K22" s="436">
        <v>45992</v>
      </c>
      <c r="M22" s="342">
        <v>19.5</v>
      </c>
      <c r="N22" s="348"/>
    </row>
    <row r="23" spans="1:14" ht="11.25" customHeight="1" x14ac:dyDescent="0.3">
      <c r="A23" s="291">
        <v>2</v>
      </c>
      <c r="B23" s="284" t="s">
        <v>103</v>
      </c>
      <c r="C23" s="422" t="s">
        <v>104</v>
      </c>
      <c r="D23" s="468">
        <v>2.5</v>
      </c>
      <c r="E23" s="443">
        <v>2.1</v>
      </c>
      <c r="F23" s="286"/>
      <c r="G23" s="288">
        <f>(D23+E23)/2</f>
        <v>2.2999999999999998</v>
      </c>
      <c r="H23" s="292"/>
      <c r="I23" s="289">
        <v>3</v>
      </c>
      <c r="J23" s="472">
        <f t="shared" si="0"/>
        <v>54</v>
      </c>
      <c r="K23" s="434" t="s">
        <v>91</v>
      </c>
      <c r="M23" s="98">
        <v>27</v>
      </c>
      <c r="N23" s="216">
        <v>27</v>
      </c>
    </row>
    <row r="24" spans="1:14" ht="11.4" customHeight="1" x14ac:dyDescent="0.3">
      <c r="A24" s="291">
        <v>3</v>
      </c>
      <c r="B24" s="284" t="s">
        <v>105</v>
      </c>
      <c r="C24" s="422" t="s">
        <v>106</v>
      </c>
      <c r="D24" s="468">
        <v>2.8</v>
      </c>
      <c r="E24" s="443">
        <v>2.2999999999999998</v>
      </c>
      <c r="F24" s="286"/>
      <c r="G24" s="288">
        <v>2.5</v>
      </c>
      <c r="H24" s="292"/>
      <c r="I24" s="289">
        <v>3</v>
      </c>
      <c r="J24" s="471">
        <f t="shared" si="0"/>
        <v>49.5</v>
      </c>
      <c r="K24" s="434" t="s">
        <v>91</v>
      </c>
      <c r="M24" s="98">
        <v>22.5</v>
      </c>
      <c r="N24" s="216">
        <v>27</v>
      </c>
    </row>
    <row r="25" spans="1:14" ht="11.25" customHeight="1" x14ac:dyDescent="0.3">
      <c r="A25" s="291">
        <v>4</v>
      </c>
      <c r="B25" s="284" t="s">
        <v>107</v>
      </c>
      <c r="C25" s="422" t="s">
        <v>108</v>
      </c>
      <c r="D25" s="468">
        <v>2.5</v>
      </c>
      <c r="E25" s="443">
        <v>2.5</v>
      </c>
      <c r="F25" s="286"/>
      <c r="G25" s="288">
        <f>(D25+E25)/2</f>
        <v>2.5</v>
      </c>
      <c r="H25" s="292"/>
      <c r="I25" s="289">
        <v>3</v>
      </c>
      <c r="J25" s="472">
        <f t="shared" si="0"/>
        <v>54</v>
      </c>
      <c r="K25" s="434" t="s">
        <v>91</v>
      </c>
      <c r="M25" s="98">
        <v>27</v>
      </c>
      <c r="N25" s="216">
        <v>27</v>
      </c>
    </row>
    <row r="26" spans="1:14" ht="11.4" customHeight="1" x14ac:dyDescent="0.3">
      <c r="A26" s="291">
        <v>5</v>
      </c>
      <c r="B26" s="284" t="s">
        <v>109</v>
      </c>
      <c r="C26" s="422" t="s">
        <v>110</v>
      </c>
      <c r="D26" s="468">
        <v>2.5</v>
      </c>
      <c r="E26" s="443">
        <v>2.2000000000000002</v>
      </c>
      <c r="F26" s="286"/>
      <c r="G26" s="288">
        <v>2.2999999999999998</v>
      </c>
      <c r="H26" s="292"/>
      <c r="I26" s="289">
        <v>3</v>
      </c>
      <c r="J26" s="472">
        <f t="shared" si="0"/>
        <v>54</v>
      </c>
      <c r="K26" s="434" t="s">
        <v>91</v>
      </c>
      <c r="M26" s="98">
        <v>27</v>
      </c>
      <c r="N26" s="216">
        <v>27</v>
      </c>
    </row>
    <row r="27" spans="1:14" ht="11.4" customHeight="1" x14ac:dyDescent="0.3">
      <c r="A27" s="291">
        <v>6</v>
      </c>
      <c r="B27" s="284" t="s">
        <v>111</v>
      </c>
      <c r="C27" s="422" t="s">
        <v>112</v>
      </c>
      <c r="D27" s="468">
        <v>2.2999999999999998</v>
      </c>
      <c r="E27" s="443">
        <v>2.1</v>
      </c>
      <c r="F27" s="286"/>
      <c r="G27" s="288">
        <f>(D27+E27)/2</f>
        <v>2.2000000000000002</v>
      </c>
      <c r="H27" s="292"/>
      <c r="I27" s="289">
        <v>3</v>
      </c>
      <c r="J27" s="472">
        <f t="shared" si="0"/>
        <v>54</v>
      </c>
      <c r="K27" s="434" t="s">
        <v>91</v>
      </c>
      <c r="M27" s="98">
        <v>27</v>
      </c>
      <c r="N27" s="216">
        <v>27</v>
      </c>
    </row>
    <row r="28" spans="1:14" ht="12" customHeight="1" x14ac:dyDescent="0.3">
      <c r="A28" s="291">
        <v>7</v>
      </c>
      <c r="B28" s="284" t="s">
        <v>113</v>
      </c>
      <c r="C28" s="422" t="s">
        <v>114</v>
      </c>
      <c r="D28" s="468">
        <v>2.5</v>
      </c>
      <c r="E28" s="443">
        <v>2.1</v>
      </c>
      <c r="F28" s="286"/>
      <c r="G28" s="288">
        <f>(D28+E28)/2</f>
        <v>2.2999999999999998</v>
      </c>
      <c r="H28" s="292"/>
      <c r="I28" s="289">
        <v>3</v>
      </c>
      <c r="J28" s="472">
        <f t="shared" si="0"/>
        <v>54</v>
      </c>
      <c r="K28" s="434" t="s">
        <v>91</v>
      </c>
      <c r="M28" s="98">
        <v>27</v>
      </c>
      <c r="N28" s="216">
        <v>27</v>
      </c>
    </row>
    <row r="29" spans="1:14" ht="12" customHeight="1" x14ac:dyDescent="0.3">
      <c r="A29" s="291">
        <v>8</v>
      </c>
      <c r="B29" s="284" t="s">
        <v>115</v>
      </c>
      <c r="C29" s="422" t="s">
        <v>116</v>
      </c>
      <c r="D29" s="468">
        <v>2.7</v>
      </c>
      <c r="E29" s="443">
        <v>2.8</v>
      </c>
      <c r="F29" s="286"/>
      <c r="G29" s="288">
        <v>2.7</v>
      </c>
      <c r="H29" s="292"/>
      <c r="I29" s="289">
        <v>3</v>
      </c>
      <c r="J29" s="472">
        <f t="shared" si="0"/>
        <v>54</v>
      </c>
      <c r="K29" s="434" t="s">
        <v>91</v>
      </c>
      <c r="M29" s="218">
        <v>27</v>
      </c>
      <c r="N29" s="216">
        <v>27</v>
      </c>
    </row>
    <row r="30" spans="1:14" ht="10.8" customHeight="1" x14ac:dyDescent="0.3">
      <c r="A30" s="291">
        <v>9</v>
      </c>
      <c r="B30" s="284" t="s">
        <v>117</v>
      </c>
      <c r="C30" s="422" t="s">
        <v>118</v>
      </c>
      <c r="D30" s="468">
        <v>2.7</v>
      </c>
      <c r="E30" s="443">
        <v>2.6</v>
      </c>
      <c r="F30" s="463"/>
      <c r="G30" s="288">
        <v>2.6</v>
      </c>
      <c r="H30" s="294"/>
      <c r="I30" s="289">
        <v>3</v>
      </c>
      <c r="J30" s="472">
        <f t="shared" si="0"/>
        <v>54</v>
      </c>
      <c r="K30" s="434" t="s">
        <v>91</v>
      </c>
      <c r="M30" s="98">
        <v>27</v>
      </c>
      <c r="N30" s="216">
        <v>27</v>
      </c>
    </row>
    <row r="31" spans="1:14" ht="12" customHeight="1" x14ac:dyDescent="0.3">
      <c r="A31" s="291">
        <v>10</v>
      </c>
      <c r="B31" s="284" t="s">
        <v>119</v>
      </c>
      <c r="C31" s="422" t="s">
        <v>120</v>
      </c>
      <c r="D31" s="468" t="s">
        <v>93</v>
      </c>
      <c r="E31" s="443" t="s">
        <v>93</v>
      </c>
      <c r="F31" s="463"/>
      <c r="G31" s="288" t="s">
        <v>95</v>
      </c>
      <c r="H31" s="294"/>
      <c r="I31" s="289">
        <v>0</v>
      </c>
      <c r="J31" s="471">
        <f t="shared" si="0"/>
        <v>16.5</v>
      </c>
      <c r="K31" s="436">
        <v>45950</v>
      </c>
      <c r="M31" s="342">
        <v>16.5</v>
      </c>
      <c r="N31" s="348"/>
    </row>
    <row r="32" spans="1:14" ht="10.199999999999999" customHeight="1" x14ac:dyDescent="0.3">
      <c r="A32" s="291">
        <v>11</v>
      </c>
      <c r="B32" s="284" t="s">
        <v>121</v>
      </c>
      <c r="C32" s="422" t="s">
        <v>122</v>
      </c>
      <c r="D32" s="468">
        <v>2.7</v>
      </c>
      <c r="E32" s="443">
        <v>2.2000000000000002</v>
      </c>
      <c r="F32" s="463"/>
      <c r="G32" s="288">
        <v>2.4</v>
      </c>
      <c r="H32" s="292"/>
      <c r="I32" s="289">
        <v>3</v>
      </c>
      <c r="J32" s="472">
        <f t="shared" si="0"/>
        <v>51</v>
      </c>
      <c r="K32" s="434" t="s">
        <v>91</v>
      </c>
      <c r="M32" s="98">
        <v>24</v>
      </c>
      <c r="N32" s="165">
        <v>27</v>
      </c>
    </row>
    <row r="33" spans="1:14" ht="10.8" customHeight="1" x14ac:dyDescent="0.3">
      <c r="A33" s="291">
        <v>12</v>
      </c>
      <c r="B33" s="284" t="s">
        <v>123</v>
      </c>
      <c r="C33" s="422" t="s">
        <v>124</v>
      </c>
      <c r="D33" s="468" t="s">
        <v>93</v>
      </c>
      <c r="E33" s="443" t="s">
        <v>93</v>
      </c>
      <c r="F33" s="463"/>
      <c r="G33" s="288" t="s">
        <v>95</v>
      </c>
      <c r="H33" s="294"/>
      <c r="I33" s="289">
        <v>0</v>
      </c>
      <c r="J33" s="472">
        <f t="shared" si="0"/>
        <v>16</v>
      </c>
      <c r="K33" s="436">
        <v>45949</v>
      </c>
      <c r="M33" s="342">
        <v>16</v>
      </c>
      <c r="N33" s="348"/>
    </row>
    <row r="34" spans="1:14" ht="10.8" customHeight="1" x14ac:dyDescent="0.3">
      <c r="A34" s="291">
        <v>13</v>
      </c>
      <c r="B34" s="284" t="s">
        <v>125</v>
      </c>
      <c r="C34" s="422" t="s">
        <v>126</v>
      </c>
      <c r="D34" s="468">
        <v>2.9</v>
      </c>
      <c r="E34" s="443">
        <v>2.5</v>
      </c>
      <c r="F34" s="463"/>
      <c r="G34" s="288">
        <f>(D34+E34)/2</f>
        <v>2.7</v>
      </c>
      <c r="H34" s="298"/>
      <c r="I34" s="289">
        <v>3</v>
      </c>
      <c r="J34" s="472">
        <f t="shared" si="0"/>
        <v>54</v>
      </c>
      <c r="K34" s="436" t="s">
        <v>91</v>
      </c>
      <c r="M34" s="98">
        <v>27</v>
      </c>
      <c r="N34" s="165">
        <v>27</v>
      </c>
    </row>
    <row r="35" spans="1:14" ht="11.4" customHeight="1" x14ac:dyDescent="0.3">
      <c r="A35" s="291">
        <v>14</v>
      </c>
      <c r="B35" s="284" t="s">
        <v>127</v>
      </c>
      <c r="C35" s="422" t="s">
        <v>128</v>
      </c>
      <c r="D35" s="468" t="s">
        <v>93</v>
      </c>
      <c r="E35" s="443" t="s">
        <v>93</v>
      </c>
      <c r="F35" s="463"/>
      <c r="G35" s="288" t="s">
        <v>95</v>
      </c>
      <c r="H35" s="298"/>
      <c r="I35" s="289">
        <v>0</v>
      </c>
      <c r="J35" s="472">
        <f t="shared" si="0"/>
        <v>16</v>
      </c>
      <c r="K35" s="436">
        <v>45951</v>
      </c>
      <c r="M35" s="342">
        <v>16</v>
      </c>
      <c r="N35" s="348"/>
    </row>
    <row r="36" spans="1:14" ht="11.4" customHeight="1" x14ac:dyDescent="0.3">
      <c r="A36" s="291">
        <v>15</v>
      </c>
      <c r="B36" s="284" t="s">
        <v>129</v>
      </c>
      <c r="C36" s="422" t="s">
        <v>130</v>
      </c>
      <c r="D36" s="468">
        <v>2.7</v>
      </c>
      <c r="E36" s="443">
        <v>2.4</v>
      </c>
      <c r="F36" s="463"/>
      <c r="G36" s="288">
        <v>2.5</v>
      </c>
      <c r="H36" s="298"/>
      <c r="I36" s="289">
        <v>3</v>
      </c>
      <c r="J36" s="472">
        <f t="shared" si="0"/>
        <v>54</v>
      </c>
      <c r="K36" s="434" t="s">
        <v>91</v>
      </c>
      <c r="M36" s="98">
        <v>27</v>
      </c>
      <c r="N36" s="165">
        <v>27</v>
      </c>
    </row>
    <row r="37" spans="1:14" ht="12" customHeight="1" x14ac:dyDescent="0.3">
      <c r="A37" s="291">
        <v>16</v>
      </c>
      <c r="B37" s="284" t="s">
        <v>131</v>
      </c>
      <c r="C37" s="422" t="s">
        <v>132</v>
      </c>
      <c r="D37" s="468">
        <v>2.4</v>
      </c>
      <c r="E37" s="443">
        <v>2.4</v>
      </c>
      <c r="F37" s="463"/>
      <c r="G37" s="288">
        <f>(D37+E37)/2</f>
        <v>2.4</v>
      </c>
      <c r="H37" s="298"/>
      <c r="I37" s="289">
        <v>3</v>
      </c>
      <c r="J37" s="471">
        <f t="shared" si="0"/>
        <v>52.5</v>
      </c>
      <c r="K37" s="434" t="s">
        <v>91</v>
      </c>
      <c r="M37" s="98">
        <v>27</v>
      </c>
      <c r="N37" s="81">
        <v>25.5</v>
      </c>
    </row>
    <row r="38" spans="1:14" ht="10.199999999999999" customHeight="1" x14ac:dyDescent="0.3">
      <c r="A38" s="291">
        <v>17</v>
      </c>
      <c r="B38" s="284" t="s">
        <v>133</v>
      </c>
      <c r="C38" s="422" t="s">
        <v>134</v>
      </c>
      <c r="D38" s="468" t="s">
        <v>93</v>
      </c>
      <c r="E38" s="443" t="s">
        <v>93</v>
      </c>
      <c r="F38" s="463"/>
      <c r="G38" s="288" t="s">
        <v>95</v>
      </c>
      <c r="H38" s="298"/>
      <c r="I38" s="289">
        <v>0</v>
      </c>
      <c r="J38" s="471">
        <v>19.5</v>
      </c>
      <c r="K38" s="436">
        <v>45927</v>
      </c>
      <c r="M38" s="342"/>
      <c r="N38" s="336"/>
    </row>
    <row r="39" spans="1:14" ht="11.4" customHeight="1" x14ac:dyDescent="0.3">
      <c r="A39" s="291">
        <v>18</v>
      </c>
      <c r="B39" s="284" t="s">
        <v>135</v>
      </c>
      <c r="C39" s="422" t="s">
        <v>136</v>
      </c>
      <c r="D39" s="468" t="s">
        <v>93</v>
      </c>
      <c r="E39" s="443" t="s">
        <v>93</v>
      </c>
      <c r="F39" s="463"/>
      <c r="G39" s="288" t="s">
        <v>95</v>
      </c>
      <c r="H39" s="292"/>
      <c r="I39" s="289">
        <v>0</v>
      </c>
      <c r="J39" s="472">
        <v>16</v>
      </c>
      <c r="K39" s="436">
        <v>45928</v>
      </c>
      <c r="M39" s="342"/>
      <c r="N39" s="336"/>
    </row>
    <row r="40" spans="1:14" ht="12" customHeight="1" x14ac:dyDescent="0.3">
      <c r="A40" s="291">
        <v>19</v>
      </c>
      <c r="B40" s="284" t="s">
        <v>137</v>
      </c>
      <c r="C40" s="422" t="s">
        <v>138</v>
      </c>
      <c r="D40" s="468">
        <v>2.8</v>
      </c>
      <c r="E40" s="443">
        <v>2.6</v>
      </c>
      <c r="F40" s="463"/>
      <c r="G40" s="288">
        <f>(D40+E40)/2</f>
        <v>2.7</v>
      </c>
      <c r="H40" s="292"/>
      <c r="I40" s="289">
        <v>3</v>
      </c>
      <c r="J40" s="472">
        <f t="shared" ref="J40:J57" si="1">(M40+N40)</f>
        <v>45</v>
      </c>
      <c r="K40" s="434" t="s">
        <v>91</v>
      </c>
      <c r="M40" s="98">
        <v>24</v>
      </c>
      <c r="N40" s="165">
        <v>21</v>
      </c>
    </row>
    <row r="41" spans="1:14" ht="11.4" customHeight="1" x14ac:dyDescent="0.3">
      <c r="A41" s="291">
        <v>20</v>
      </c>
      <c r="B41" s="284" t="s">
        <v>139</v>
      </c>
      <c r="C41" s="422" t="s">
        <v>140</v>
      </c>
      <c r="D41" s="468">
        <v>2.8</v>
      </c>
      <c r="E41" s="443">
        <v>2.7</v>
      </c>
      <c r="F41" s="463"/>
      <c r="G41" s="288">
        <v>2.7</v>
      </c>
      <c r="H41" s="298"/>
      <c r="I41" s="289">
        <v>3</v>
      </c>
      <c r="J41" s="471">
        <f t="shared" si="1"/>
        <v>46.5</v>
      </c>
      <c r="K41" s="434" t="s">
        <v>91</v>
      </c>
      <c r="M41" s="218">
        <v>24</v>
      </c>
      <c r="N41" s="206">
        <v>22.5</v>
      </c>
    </row>
    <row r="42" spans="1:14" ht="11.4" customHeight="1" x14ac:dyDescent="0.3">
      <c r="A42" s="291">
        <v>21</v>
      </c>
      <c r="B42" s="284" t="s">
        <v>141</v>
      </c>
      <c r="C42" s="422" t="s">
        <v>142</v>
      </c>
      <c r="D42" s="468">
        <v>2.7</v>
      </c>
      <c r="E42" s="443">
        <v>2.5</v>
      </c>
      <c r="F42" s="463"/>
      <c r="G42" s="288">
        <f>(D42+E42)/2</f>
        <v>2.6</v>
      </c>
      <c r="H42" s="298"/>
      <c r="I42" s="289">
        <v>3</v>
      </c>
      <c r="J42" s="471">
        <f t="shared" si="1"/>
        <v>49.5</v>
      </c>
      <c r="K42" s="434" t="s">
        <v>91</v>
      </c>
      <c r="M42" s="218">
        <v>27</v>
      </c>
      <c r="N42" s="206">
        <v>22.5</v>
      </c>
    </row>
    <row r="43" spans="1:14" ht="12.6" customHeight="1" x14ac:dyDescent="0.3">
      <c r="A43" s="291">
        <v>22</v>
      </c>
      <c r="B43" s="284" t="s">
        <v>143</v>
      </c>
      <c r="C43" s="422" t="s">
        <v>144</v>
      </c>
      <c r="D43" s="468">
        <v>2.9</v>
      </c>
      <c r="E43" s="443">
        <v>2.5</v>
      </c>
      <c r="F43" s="463"/>
      <c r="G43" s="288">
        <f>(D43+E43)/2</f>
        <v>2.7</v>
      </c>
      <c r="H43" s="294"/>
      <c r="I43" s="289">
        <v>3</v>
      </c>
      <c r="J43" s="472">
        <f t="shared" si="1"/>
        <v>48</v>
      </c>
      <c r="K43" s="434" t="s">
        <v>91</v>
      </c>
      <c r="M43" s="218">
        <v>24</v>
      </c>
      <c r="N43" s="216">
        <v>24</v>
      </c>
    </row>
    <row r="44" spans="1:14" ht="12" customHeight="1" x14ac:dyDescent="0.3">
      <c r="A44" s="291">
        <v>23</v>
      </c>
      <c r="B44" s="284" t="s">
        <v>145</v>
      </c>
      <c r="C44" s="422" t="s">
        <v>146</v>
      </c>
      <c r="D44" s="468">
        <v>2.6</v>
      </c>
      <c r="E44" s="443">
        <v>2.8</v>
      </c>
      <c r="F44" s="463"/>
      <c r="G44" s="288">
        <f>(D44+E44)/2</f>
        <v>2.7</v>
      </c>
      <c r="H44" s="298"/>
      <c r="I44" s="289">
        <v>3</v>
      </c>
      <c r="J44" s="472">
        <f t="shared" si="1"/>
        <v>51</v>
      </c>
      <c r="K44" s="434" t="s">
        <v>91</v>
      </c>
      <c r="M44" s="218">
        <v>27</v>
      </c>
      <c r="N44" s="216">
        <v>24</v>
      </c>
    </row>
    <row r="45" spans="1:14" ht="11.4" customHeight="1" x14ac:dyDescent="0.3">
      <c r="A45" s="291">
        <v>24</v>
      </c>
      <c r="B45" s="284" t="s">
        <v>147</v>
      </c>
      <c r="C45" s="422" t="s">
        <v>148</v>
      </c>
      <c r="D45" s="468" t="s">
        <v>93</v>
      </c>
      <c r="E45" s="443" t="s">
        <v>93</v>
      </c>
      <c r="F45" s="295"/>
      <c r="G45" s="288" t="s">
        <v>95</v>
      </c>
      <c r="H45" s="294"/>
      <c r="I45" s="289">
        <v>0</v>
      </c>
      <c r="J45" s="472">
        <f t="shared" si="1"/>
        <v>24</v>
      </c>
      <c r="K45" s="436">
        <v>45992</v>
      </c>
      <c r="M45" s="342">
        <v>24</v>
      </c>
      <c r="N45" s="336"/>
    </row>
    <row r="46" spans="1:14" ht="12" customHeight="1" x14ac:dyDescent="0.3">
      <c r="A46" s="291">
        <v>25</v>
      </c>
      <c r="B46" s="284" t="s">
        <v>149</v>
      </c>
      <c r="C46" s="422" t="s">
        <v>150</v>
      </c>
      <c r="D46" s="468">
        <v>2.6</v>
      </c>
      <c r="E46" s="467">
        <v>2</v>
      </c>
      <c r="F46" s="463"/>
      <c r="G46" s="288">
        <f>(D46+E46)/2</f>
        <v>2.2999999999999998</v>
      </c>
      <c r="H46" s="298"/>
      <c r="I46" s="289">
        <v>3</v>
      </c>
      <c r="J46" s="472">
        <f>(M46+N46)</f>
        <v>54</v>
      </c>
      <c r="K46" s="434" t="s">
        <v>91</v>
      </c>
      <c r="M46" s="218">
        <v>27</v>
      </c>
      <c r="N46" s="216">
        <v>27</v>
      </c>
    </row>
    <row r="47" spans="1:14" ht="12" customHeight="1" x14ac:dyDescent="0.3">
      <c r="A47" s="291">
        <v>26</v>
      </c>
      <c r="B47" s="284" t="s">
        <v>151</v>
      </c>
      <c r="C47" s="422" t="s">
        <v>152</v>
      </c>
      <c r="D47" s="468">
        <v>2.2000000000000002</v>
      </c>
      <c r="E47" s="443">
        <v>2.2999999999999998</v>
      </c>
      <c r="F47" s="463"/>
      <c r="G47" s="288">
        <v>2.2000000000000002</v>
      </c>
      <c r="H47" s="298"/>
      <c r="I47" s="289">
        <v>3</v>
      </c>
      <c r="J47" s="472">
        <f t="shared" si="1"/>
        <v>51</v>
      </c>
      <c r="K47" s="434" t="s">
        <v>91</v>
      </c>
      <c r="M47" s="218">
        <v>24</v>
      </c>
      <c r="N47" s="216">
        <v>27</v>
      </c>
    </row>
    <row r="48" spans="1:14" ht="12" customHeight="1" x14ac:dyDescent="0.3">
      <c r="A48" s="291">
        <v>27</v>
      </c>
      <c r="B48" s="284" t="s">
        <v>153</v>
      </c>
      <c r="C48" s="422" t="s">
        <v>154</v>
      </c>
      <c r="D48" s="468">
        <v>2.7</v>
      </c>
      <c r="E48" s="443">
        <v>2.7</v>
      </c>
      <c r="F48" s="463"/>
      <c r="G48" s="288">
        <f>(D48+E48)/2</f>
        <v>2.7</v>
      </c>
      <c r="H48" s="298"/>
      <c r="I48" s="289">
        <v>3</v>
      </c>
      <c r="J48" s="472">
        <f t="shared" si="1"/>
        <v>48</v>
      </c>
      <c r="K48" s="434" t="s">
        <v>91</v>
      </c>
      <c r="M48" s="218">
        <v>27</v>
      </c>
      <c r="N48" s="216">
        <v>21</v>
      </c>
    </row>
    <row r="49" spans="1:14" ht="11.4" customHeight="1" x14ac:dyDescent="0.3">
      <c r="A49" s="291">
        <v>28</v>
      </c>
      <c r="B49" s="284" t="s">
        <v>155</v>
      </c>
      <c r="C49" s="422" t="s">
        <v>156</v>
      </c>
      <c r="D49" s="468">
        <v>2.8</v>
      </c>
      <c r="E49" s="443">
        <v>2.6</v>
      </c>
      <c r="F49" s="463"/>
      <c r="G49" s="288">
        <f>(D49+E49)/2</f>
        <v>2.7</v>
      </c>
      <c r="H49" s="298"/>
      <c r="I49" s="289">
        <v>3</v>
      </c>
      <c r="J49" s="471">
        <f t="shared" si="1"/>
        <v>43.5</v>
      </c>
      <c r="K49" s="434" t="s">
        <v>91</v>
      </c>
      <c r="M49" s="218">
        <v>22.5</v>
      </c>
      <c r="N49" s="216">
        <v>21</v>
      </c>
    </row>
    <row r="50" spans="1:14" ht="11.4" customHeight="1" x14ac:dyDescent="0.3">
      <c r="A50" s="291">
        <v>29</v>
      </c>
      <c r="B50" s="284" t="s">
        <v>157</v>
      </c>
      <c r="C50" s="422" t="s">
        <v>158</v>
      </c>
      <c r="D50" s="468">
        <v>2.6</v>
      </c>
      <c r="E50" s="443">
        <v>2.1</v>
      </c>
      <c r="F50" s="463"/>
      <c r="G50" s="288">
        <v>2.2999999999999998</v>
      </c>
      <c r="H50" s="294"/>
      <c r="I50" s="289">
        <v>3</v>
      </c>
      <c r="J50" s="472">
        <f t="shared" si="1"/>
        <v>51</v>
      </c>
      <c r="K50" s="434" t="s">
        <v>91</v>
      </c>
      <c r="M50" s="98">
        <v>27</v>
      </c>
      <c r="N50" s="165">
        <v>24</v>
      </c>
    </row>
    <row r="51" spans="1:14" ht="11.4" customHeight="1" x14ac:dyDescent="0.3">
      <c r="A51" s="291">
        <v>30</v>
      </c>
      <c r="B51" s="284" t="s">
        <v>159</v>
      </c>
      <c r="C51" s="422" t="s">
        <v>160</v>
      </c>
      <c r="D51" s="468">
        <v>2.5</v>
      </c>
      <c r="E51" s="443">
        <v>2.2999999999999998</v>
      </c>
      <c r="F51" s="463"/>
      <c r="G51" s="288">
        <f>(D51+E51)/2</f>
        <v>2.4</v>
      </c>
      <c r="H51" s="298"/>
      <c r="I51" s="289">
        <v>3</v>
      </c>
      <c r="J51" s="472">
        <f t="shared" si="1"/>
        <v>54</v>
      </c>
      <c r="K51" s="434" t="s">
        <v>91</v>
      </c>
      <c r="M51" s="98">
        <v>27</v>
      </c>
      <c r="N51" s="165">
        <v>27</v>
      </c>
    </row>
    <row r="52" spans="1:14" ht="11.4" customHeight="1" x14ac:dyDescent="0.3">
      <c r="A52" s="291">
        <v>31</v>
      </c>
      <c r="B52" s="284" t="s">
        <v>161</v>
      </c>
      <c r="C52" s="422" t="s">
        <v>162</v>
      </c>
      <c r="D52" s="468">
        <v>2.8</v>
      </c>
      <c r="E52" s="443">
        <v>2.5</v>
      </c>
      <c r="F52" s="463"/>
      <c r="G52" s="288">
        <v>2.6</v>
      </c>
      <c r="H52" s="298"/>
      <c r="I52" s="289">
        <v>3</v>
      </c>
      <c r="J52" s="472">
        <f t="shared" si="1"/>
        <v>54</v>
      </c>
      <c r="K52" s="434" t="s">
        <v>91</v>
      </c>
      <c r="M52" s="98">
        <v>27</v>
      </c>
      <c r="N52" s="165">
        <v>27</v>
      </c>
    </row>
    <row r="53" spans="1:14" ht="11.4" customHeight="1" x14ac:dyDescent="0.3">
      <c r="A53" s="291">
        <v>32</v>
      </c>
      <c r="B53" s="284" t="s">
        <v>163</v>
      </c>
      <c r="C53" s="422" t="s">
        <v>164</v>
      </c>
      <c r="D53" s="468">
        <v>2.9</v>
      </c>
      <c r="E53" s="443">
        <v>2.5</v>
      </c>
      <c r="F53" s="463"/>
      <c r="G53" s="288">
        <f>(D53+E53)/2</f>
        <v>2.7</v>
      </c>
      <c r="H53" s="298"/>
      <c r="I53" s="289">
        <v>3</v>
      </c>
      <c r="J53" s="472">
        <f t="shared" si="1"/>
        <v>46</v>
      </c>
      <c r="K53" s="434" t="s">
        <v>91</v>
      </c>
      <c r="M53" s="218">
        <v>22</v>
      </c>
      <c r="N53" s="216">
        <v>24</v>
      </c>
    </row>
    <row r="54" spans="1:14" ht="12" customHeight="1" x14ac:dyDescent="0.3">
      <c r="A54" s="291">
        <v>33</v>
      </c>
      <c r="B54" s="284" t="s">
        <v>165</v>
      </c>
      <c r="C54" s="422" t="s">
        <v>166</v>
      </c>
      <c r="D54" s="468">
        <v>2.7</v>
      </c>
      <c r="E54" s="443">
        <v>2.2999999999999998</v>
      </c>
      <c r="F54" s="463"/>
      <c r="G54" s="288">
        <f>(D54+E54)/2</f>
        <v>2.5</v>
      </c>
      <c r="H54" s="298"/>
      <c r="I54" s="289">
        <v>3</v>
      </c>
      <c r="J54" s="472">
        <f t="shared" si="1"/>
        <v>51</v>
      </c>
      <c r="K54" s="434" t="s">
        <v>91</v>
      </c>
      <c r="M54" s="98">
        <v>27</v>
      </c>
      <c r="N54" s="165">
        <v>24</v>
      </c>
    </row>
    <row r="55" spans="1:14" ht="12" customHeight="1" x14ac:dyDescent="0.3">
      <c r="A55" s="291">
        <v>34</v>
      </c>
      <c r="B55" s="284" t="s">
        <v>167</v>
      </c>
      <c r="C55" s="422" t="s">
        <v>168</v>
      </c>
      <c r="D55" s="469">
        <v>3</v>
      </c>
      <c r="E55" s="443">
        <v>2.6</v>
      </c>
      <c r="F55" s="463"/>
      <c r="G55" s="288">
        <f>(D55+E55)/2</f>
        <v>2.8</v>
      </c>
      <c r="H55" s="298"/>
      <c r="I55" s="289">
        <v>3</v>
      </c>
      <c r="J55" s="472">
        <f t="shared" si="1"/>
        <v>45</v>
      </c>
      <c r="K55" s="434" t="s">
        <v>91</v>
      </c>
      <c r="M55" s="218">
        <v>24</v>
      </c>
      <c r="N55" s="216">
        <v>21</v>
      </c>
    </row>
    <row r="56" spans="1:14" ht="11.4" customHeight="1" x14ac:dyDescent="0.3">
      <c r="A56" s="291">
        <v>35</v>
      </c>
      <c r="B56" s="284" t="s">
        <v>169</v>
      </c>
      <c r="C56" s="422" t="s">
        <v>170</v>
      </c>
      <c r="D56" s="468">
        <v>1.8</v>
      </c>
      <c r="E56" s="443">
        <v>1.6</v>
      </c>
      <c r="F56" s="463"/>
      <c r="G56" s="288">
        <f>(D56+E56)/2</f>
        <v>1.7000000000000002</v>
      </c>
      <c r="H56" s="298"/>
      <c r="I56" s="289">
        <v>3</v>
      </c>
      <c r="J56" s="472">
        <f t="shared" si="1"/>
        <v>54</v>
      </c>
      <c r="K56" s="434" t="s">
        <v>91</v>
      </c>
      <c r="M56" s="218">
        <v>27</v>
      </c>
      <c r="N56" s="216">
        <v>27</v>
      </c>
    </row>
    <row r="57" spans="1:14" ht="10.8" customHeight="1" x14ac:dyDescent="0.3">
      <c r="A57" s="291">
        <v>36</v>
      </c>
      <c r="B57" s="284" t="s">
        <v>171</v>
      </c>
      <c r="C57" s="422" t="s">
        <v>172</v>
      </c>
      <c r="D57" s="468">
        <v>2.7</v>
      </c>
      <c r="E57" s="443">
        <v>2.8</v>
      </c>
      <c r="F57" s="463"/>
      <c r="G57" s="288">
        <v>2.7</v>
      </c>
      <c r="H57" s="298"/>
      <c r="I57" s="289">
        <v>3</v>
      </c>
      <c r="J57" s="471">
        <f t="shared" si="1"/>
        <v>52.5</v>
      </c>
      <c r="K57" s="434" t="s">
        <v>91</v>
      </c>
      <c r="M57" s="218">
        <v>25.5</v>
      </c>
      <c r="N57" s="216">
        <v>27</v>
      </c>
    </row>
    <row r="58" spans="1:14" ht="10.8" customHeight="1" x14ac:dyDescent="0.3">
      <c r="A58" s="291">
        <v>37</v>
      </c>
      <c r="B58" s="284" t="s">
        <v>173</v>
      </c>
      <c r="C58" s="422" t="s">
        <v>174</v>
      </c>
      <c r="D58" s="468">
        <v>2.8</v>
      </c>
      <c r="E58" s="443">
        <v>2.5</v>
      </c>
      <c r="F58" s="463"/>
      <c r="G58" s="288">
        <v>2.6</v>
      </c>
      <c r="H58" s="298"/>
      <c r="I58" s="289">
        <v>3</v>
      </c>
      <c r="J58" s="472">
        <f t="shared" ref="J58:J63" si="2">(M58+N58)</f>
        <v>54</v>
      </c>
      <c r="K58" s="434" t="s">
        <v>91</v>
      </c>
      <c r="L58" t="s">
        <v>96</v>
      </c>
      <c r="M58" s="218">
        <v>27</v>
      </c>
      <c r="N58" s="216">
        <v>27</v>
      </c>
    </row>
    <row r="59" spans="1:14" ht="10.8" customHeight="1" x14ac:dyDescent="0.3">
      <c r="A59" s="291">
        <v>38</v>
      </c>
      <c r="B59" s="284" t="s">
        <v>179</v>
      </c>
      <c r="C59" s="422" t="s">
        <v>180</v>
      </c>
      <c r="D59" s="468">
        <v>2.8</v>
      </c>
      <c r="E59" s="443">
        <v>2.4</v>
      </c>
      <c r="F59" s="463"/>
      <c r="G59" s="288">
        <f>(D59+E59)/2</f>
        <v>2.5999999999999996</v>
      </c>
      <c r="H59" s="298"/>
      <c r="I59" s="289">
        <v>3</v>
      </c>
      <c r="J59" s="472">
        <v>54</v>
      </c>
      <c r="K59" s="434" t="s">
        <v>91</v>
      </c>
      <c r="M59" s="218"/>
      <c r="N59" s="216"/>
    </row>
    <row r="60" spans="1:14" ht="10.8" customHeight="1" x14ac:dyDescent="0.3">
      <c r="A60" s="291">
        <v>39</v>
      </c>
      <c r="B60" s="284" t="s">
        <v>175</v>
      </c>
      <c r="C60" s="422" t="s">
        <v>176</v>
      </c>
      <c r="D60" s="468">
        <v>2.7</v>
      </c>
      <c r="E60" s="443">
        <v>2.4</v>
      </c>
      <c r="F60" s="463"/>
      <c r="G60" s="288">
        <v>2.5</v>
      </c>
      <c r="H60" s="298"/>
      <c r="I60" s="289">
        <v>3</v>
      </c>
      <c r="J60" s="472">
        <f t="shared" si="2"/>
        <v>54</v>
      </c>
      <c r="K60" s="434" t="s">
        <v>91</v>
      </c>
      <c r="M60" s="218">
        <v>27</v>
      </c>
      <c r="N60" s="216">
        <v>27</v>
      </c>
    </row>
    <row r="61" spans="1:14" ht="12" customHeight="1" x14ac:dyDescent="0.3">
      <c r="A61" s="291">
        <v>40</v>
      </c>
      <c r="B61" s="284" t="s">
        <v>177</v>
      </c>
      <c r="C61" s="422" t="s">
        <v>178</v>
      </c>
      <c r="D61" s="468">
        <v>2.8</v>
      </c>
      <c r="E61" s="443">
        <v>2.4</v>
      </c>
      <c r="F61" s="463"/>
      <c r="G61" s="288">
        <f>(D61+E61)/2</f>
        <v>2.5999999999999996</v>
      </c>
      <c r="H61" s="298"/>
      <c r="I61" s="289">
        <v>3</v>
      </c>
      <c r="J61" s="472">
        <f t="shared" si="2"/>
        <v>54</v>
      </c>
      <c r="K61" s="434" t="s">
        <v>91</v>
      </c>
      <c r="M61" s="218">
        <v>27</v>
      </c>
      <c r="N61" s="216">
        <v>27</v>
      </c>
    </row>
    <row r="62" spans="1:14" ht="11.4" customHeight="1" x14ac:dyDescent="0.3">
      <c r="A62" s="291">
        <v>41</v>
      </c>
      <c r="B62" s="284" t="s">
        <v>181</v>
      </c>
      <c r="C62" s="422" t="s">
        <v>182</v>
      </c>
      <c r="D62" s="469">
        <v>2</v>
      </c>
      <c r="E62" s="443">
        <v>2.2000000000000002</v>
      </c>
      <c r="F62" s="463"/>
      <c r="G62" s="288">
        <v>2</v>
      </c>
      <c r="H62" s="298"/>
      <c r="I62" s="289">
        <v>3</v>
      </c>
      <c r="J62" s="472">
        <f t="shared" si="2"/>
        <v>54</v>
      </c>
      <c r="K62" s="434" t="s">
        <v>91</v>
      </c>
      <c r="M62" s="218">
        <v>27</v>
      </c>
      <c r="N62" s="216">
        <v>27</v>
      </c>
    </row>
    <row r="63" spans="1:14" ht="12" customHeight="1" x14ac:dyDescent="0.3">
      <c r="A63" s="291">
        <v>42</v>
      </c>
      <c r="B63" s="284" t="s">
        <v>183</v>
      </c>
      <c r="C63" s="422" t="s">
        <v>184</v>
      </c>
      <c r="D63" s="468">
        <v>2.7</v>
      </c>
      <c r="E63" s="443">
        <v>2.5</v>
      </c>
      <c r="F63" s="463"/>
      <c r="G63" s="288">
        <f>(D63+E63)/2</f>
        <v>2.6</v>
      </c>
      <c r="H63" s="298"/>
      <c r="I63" s="289">
        <v>3</v>
      </c>
      <c r="J63" s="472">
        <f t="shared" si="2"/>
        <v>54</v>
      </c>
      <c r="K63" s="434" t="s">
        <v>91</v>
      </c>
      <c r="M63" s="218">
        <v>27</v>
      </c>
      <c r="N63" s="216">
        <v>27</v>
      </c>
    </row>
    <row r="64" spans="1:14" ht="10.8" customHeight="1" x14ac:dyDescent="0.3">
      <c r="A64" s="291">
        <v>43</v>
      </c>
      <c r="B64" s="284" t="s">
        <v>185</v>
      </c>
      <c r="C64" s="422" t="s">
        <v>186</v>
      </c>
      <c r="D64" s="468" t="s">
        <v>93</v>
      </c>
      <c r="E64" s="443" t="s">
        <v>93</v>
      </c>
      <c r="F64" s="463"/>
      <c r="G64" s="288" t="s">
        <v>95</v>
      </c>
      <c r="H64" s="298"/>
      <c r="I64" s="289">
        <v>0</v>
      </c>
      <c r="J64" s="471">
        <v>19.5</v>
      </c>
      <c r="K64" s="436">
        <v>45992</v>
      </c>
      <c r="M64" s="342"/>
      <c r="N64" s="348"/>
    </row>
    <row r="65" spans="1:14" ht="12" customHeight="1" x14ac:dyDescent="0.3">
      <c r="A65" s="291">
        <v>44</v>
      </c>
      <c r="B65" s="284" t="s">
        <v>187</v>
      </c>
      <c r="C65" s="422" t="s">
        <v>188</v>
      </c>
      <c r="D65" s="468">
        <v>2.6</v>
      </c>
      <c r="E65" s="443">
        <v>2.1</v>
      </c>
      <c r="F65" s="463"/>
      <c r="G65" s="288">
        <v>2.2999999999999998</v>
      </c>
      <c r="H65" s="298"/>
      <c r="I65" s="289">
        <v>3</v>
      </c>
      <c r="J65" s="472">
        <f>(M65+N65)</f>
        <v>54</v>
      </c>
      <c r="K65" s="434" t="s">
        <v>91</v>
      </c>
      <c r="M65" s="218">
        <v>27</v>
      </c>
      <c r="N65" s="216">
        <v>27</v>
      </c>
    </row>
    <row r="66" spans="1:14" ht="11.4" customHeight="1" x14ac:dyDescent="0.3">
      <c r="A66" s="291">
        <v>45</v>
      </c>
      <c r="B66" s="284" t="s">
        <v>189</v>
      </c>
      <c r="C66" s="422" t="s">
        <v>190</v>
      </c>
      <c r="D66" s="468">
        <v>2.2999999999999998</v>
      </c>
      <c r="E66" s="443">
        <v>2.4</v>
      </c>
      <c r="F66" s="463"/>
      <c r="G66" s="288">
        <v>2.2999999999999998</v>
      </c>
      <c r="H66" s="298"/>
      <c r="I66" s="289">
        <v>3</v>
      </c>
      <c r="J66" s="472">
        <f>(M66+N66)</f>
        <v>54</v>
      </c>
      <c r="K66" s="434" t="s">
        <v>91</v>
      </c>
      <c r="M66" s="98">
        <v>27</v>
      </c>
      <c r="N66" s="165">
        <v>27</v>
      </c>
    </row>
    <row r="67" spans="1:14" ht="11.4" customHeight="1" x14ac:dyDescent="0.3">
      <c r="A67" s="291">
        <v>46</v>
      </c>
      <c r="B67" s="284" t="s">
        <v>191</v>
      </c>
      <c r="C67" s="422" t="s">
        <v>192</v>
      </c>
      <c r="D67" s="468">
        <v>2.2999999999999998</v>
      </c>
      <c r="E67" s="443">
        <v>1.9</v>
      </c>
      <c r="F67" s="463"/>
      <c r="G67" s="288">
        <f>(D67+E67)/2</f>
        <v>2.0999999999999996</v>
      </c>
      <c r="H67" s="298"/>
      <c r="I67" s="289">
        <v>3</v>
      </c>
      <c r="J67" s="472">
        <f>(M67+N67)</f>
        <v>54</v>
      </c>
      <c r="K67" s="434" t="s">
        <v>91</v>
      </c>
      <c r="M67" s="98">
        <v>27</v>
      </c>
      <c r="N67" s="165">
        <v>27</v>
      </c>
    </row>
    <row r="68" spans="1:14" ht="12" customHeight="1" x14ac:dyDescent="0.3">
      <c r="A68" s="291">
        <v>47</v>
      </c>
      <c r="B68" s="284" t="s">
        <v>193</v>
      </c>
      <c r="C68" s="422" t="s">
        <v>194</v>
      </c>
      <c r="D68" s="468" t="s">
        <v>93</v>
      </c>
      <c r="E68" s="443" t="s">
        <v>93</v>
      </c>
      <c r="F68" s="463"/>
      <c r="G68" s="288" t="s">
        <v>95</v>
      </c>
      <c r="H68" s="298"/>
      <c r="I68" s="289">
        <v>0</v>
      </c>
      <c r="J68" s="471">
        <v>19.5</v>
      </c>
      <c r="K68" s="436">
        <v>45992</v>
      </c>
      <c r="M68" s="342">
        <v>19</v>
      </c>
      <c r="N68" s="348"/>
    </row>
    <row r="69" spans="1:14" ht="10.8" customHeight="1" x14ac:dyDescent="0.3">
      <c r="A69" s="291">
        <v>48</v>
      </c>
      <c r="B69" s="284" t="s">
        <v>195</v>
      </c>
      <c r="C69" s="422" t="s">
        <v>196</v>
      </c>
      <c r="D69" s="468">
        <v>2.4</v>
      </c>
      <c r="E69" s="443">
        <v>2.4</v>
      </c>
      <c r="F69" s="463"/>
      <c r="G69" s="288">
        <f>(D69+E69)/2</f>
        <v>2.4</v>
      </c>
      <c r="H69" s="298"/>
      <c r="I69" s="289">
        <v>3</v>
      </c>
      <c r="J69" s="472">
        <f>(M69+N69)</f>
        <v>54</v>
      </c>
      <c r="K69" s="434" t="s">
        <v>91</v>
      </c>
      <c r="M69" s="98">
        <v>27</v>
      </c>
      <c r="N69" s="165">
        <v>27</v>
      </c>
    </row>
    <row r="70" spans="1:14" ht="12" customHeight="1" x14ac:dyDescent="0.3">
      <c r="A70" s="291">
        <v>49</v>
      </c>
      <c r="B70" s="284" t="s">
        <v>197</v>
      </c>
      <c r="C70" s="422" t="s">
        <v>198</v>
      </c>
      <c r="D70" s="468">
        <v>2.2000000000000002</v>
      </c>
      <c r="E70" s="443">
        <v>2.4</v>
      </c>
      <c r="F70" s="463"/>
      <c r="G70" s="288">
        <f>(D70+E70)/2</f>
        <v>2.2999999999999998</v>
      </c>
      <c r="H70" s="298"/>
      <c r="I70" s="289">
        <v>3</v>
      </c>
      <c r="J70" s="472">
        <f>(M70+N70)</f>
        <v>54</v>
      </c>
      <c r="K70" s="434" t="s">
        <v>91</v>
      </c>
      <c r="M70" s="98">
        <v>27</v>
      </c>
      <c r="N70" s="165">
        <v>27</v>
      </c>
    </row>
    <row r="71" spans="1:14" ht="10.199999999999999" customHeight="1" x14ac:dyDescent="0.3">
      <c r="A71" s="300"/>
      <c r="B71" s="300"/>
      <c r="C71" s="518" t="s">
        <v>211</v>
      </c>
      <c r="D71" s="464"/>
      <c r="E71" s="465"/>
      <c r="F71" s="293"/>
      <c r="G71" s="296"/>
      <c r="H71" s="298"/>
      <c r="I71" s="289"/>
      <c r="J71" s="290"/>
      <c r="K71" s="434"/>
      <c r="M71" s="98"/>
    </row>
    <row r="72" spans="1:14" x14ac:dyDescent="0.3">
      <c r="A72" s="275"/>
      <c r="B72" s="25"/>
      <c r="C72" s="26"/>
      <c r="D72" s="27"/>
      <c r="E72" s="27"/>
      <c r="F72" s="27"/>
      <c r="G72" s="28"/>
      <c r="H72" s="29"/>
      <c r="I72" s="30"/>
      <c r="J72" s="31"/>
      <c r="K72" s="32"/>
    </row>
    <row r="73" spans="1:14" x14ac:dyDescent="0.3">
      <c r="B73" s="3"/>
      <c r="C73" s="3"/>
      <c r="D73" s="3"/>
      <c r="E73" s="3"/>
      <c r="F73" s="3"/>
      <c r="G73" s="3"/>
      <c r="H73" s="3"/>
      <c r="I73" s="3"/>
      <c r="J73" s="32"/>
      <c r="K73" s="3"/>
    </row>
    <row r="74" spans="1:14" x14ac:dyDescent="0.3">
      <c r="B74" s="3"/>
      <c r="C74" s="3"/>
      <c r="D74" s="3"/>
      <c r="E74" s="3"/>
      <c r="F74" s="3"/>
      <c r="G74" s="3"/>
      <c r="H74" s="3"/>
      <c r="I74" s="3"/>
      <c r="J74" s="32"/>
      <c r="K74" s="3"/>
    </row>
    <row r="75" spans="1:14" ht="16.2" customHeight="1" x14ac:dyDescent="0.3">
      <c r="B75" s="3"/>
      <c r="C75" s="3"/>
      <c r="D75" s="3"/>
      <c r="E75" s="3"/>
      <c r="F75" s="3"/>
      <c r="G75" s="3"/>
      <c r="H75" s="3"/>
      <c r="I75" s="3"/>
      <c r="J75" s="32"/>
      <c r="K75" s="3"/>
    </row>
    <row r="76" spans="1:14" ht="83.4" customHeight="1" x14ac:dyDescent="0.3">
      <c r="B76" s="3"/>
      <c r="C76" s="3"/>
      <c r="D76" s="3"/>
      <c r="E76" s="3"/>
      <c r="F76" s="3"/>
      <c r="G76" s="3"/>
      <c r="H76" s="3"/>
      <c r="I76" s="3"/>
      <c r="J76" s="32"/>
      <c r="K76" s="3"/>
    </row>
    <row r="77" spans="1:14" ht="9.75" customHeight="1" x14ac:dyDescent="0.3">
      <c r="A77" s="170" t="s">
        <v>515</v>
      </c>
      <c r="B77" s="3"/>
      <c r="C77" s="3"/>
      <c r="D77" s="3"/>
      <c r="E77" s="3"/>
      <c r="F77" s="3"/>
      <c r="G77" s="3"/>
      <c r="H77" s="3"/>
      <c r="I77" s="3"/>
      <c r="J77" s="32"/>
      <c r="K77" s="3"/>
    </row>
    <row r="78" spans="1:14" ht="19.5" customHeight="1" x14ac:dyDescent="0.3">
      <c r="B78" s="3"/>
      <c r="C78" s="3"/>
      <c r="D78" s="3"/>
      <c r="E78" s="3"/>
      <c r="F78" s="3"/>
      <c r="G78" s="3"/>
      <c r="H78" s="3"/>
      <c r="I78" s="3"/>
      <c r="J78" s="32"/>
      <c r="K78" s="3"/>
    </row>
    <row r="79" spans="1:14" ht="9.75" customHeight="1" x14ac:dyDescent="0.3">
      <c r="A79" s="170"/>
      <c r="B79" s="162"/>
      <c r="C79" s="162"/>
      <c r="D79" s="162"/>
      <c r="E79" s="162"/>
      <c r="F79" s="162"/>
      <c r="G79" s="162"/>
      <c r="H79" s="162"/>
      <c r="I79" s="162"/>
      <c r="J79" s="162"/>
      <c r="K79" s="162"/>
    </row>
    <row r="80" spans="1:14" ht="15" customHeight="1" x14ac:dyDescent="0.3">
      <c r="A80" s="170"/>
      <c r="B80" s="3"/>
      <c r="C80" s="3"/>
      <c r="D80" s="3"/>
      <c r="E80" s="3"/>
      <c r="F80" s="3"/>
      <c r="G80" s="3"/>
      <c r="H80" s="3"/>
      <c r="I80" s="3"/>
      <c r="J80" s="32"/>
      <c r="K80" s="3"/>
    </row>
    <row r="81" spans="1:11" ht="16.5" customHeight="1" x14ac:dyDescent="0.3">
      <c r="A81" s="170"/>
      <c r="B81" s="168"/>
      <c r="C81" s="169"/>
      <c r="D81" s="169"/>
      <c r="E81" s="169"/>
      <c r="F81" s="169"/>
      <c r="G81" s="169"/>
      <c r="H81" s="169"/>
      <c r="I81" s="169"/>
      <c r="J81" s="110"/>
      <c r="K81" s="169"/>
    </row>
    <row r="82" spans="1:11" x14ac:dyDescent="0.3">
      <c r="A82" s="3"/>
      <c r="B82" s="3"/>
      <c r="C82" s="3"/>
      <c r="D82" s="3"/>
      <c r="E82" s="3"/>
      <c r="F82" s="3"/>
      <c r="G82" s="3"/>
      <c r="H82" s="3"/>
      <c r="I82" s="3"/>
      <c r="J82" s="32"/>
      <c r="K82" s="3"/>
    </row>
    <row r="83" spans="1:11" x14ac:dyDescent="0.3">
      <c r="A83" s="35"/>
      <c r="B83" s="3"/>
      <c r="C83" s="3"/>
      <c r="D83" s="3"/>
      <c r="E83" s="3"/>
      <c r="F83" s="3"/>
      <c r="G83" s="3"/>
      <c r="H83" s="3"/>
      <c r="I83" s="3"/>
      <c r="J83" s="32"/>
      <c r="K83" s="3"/>
    </row>
    <row r="84" spans="1:11" ht="15" customHeight="1" x14ac:dyDescent="0.3">
      <c r="A84" s="14"/>
      <c r="B84" s="161"/>
      <c r="C84" s="161"/>
      <c r="D84" s="161"/>
      <c r="E84" s="161"/>
      <c r="F84" s="161"/>
      <c r="G84" s="161"/>
      <c r="H84" s="161"/>
      <c r="I84" s="161"/>
      <c r="J84" s="161"/>
      <c r="K84" s="161"/>
    </row>
    <row r="85" spans="1:11" ht="15" customHeight="1" x14ac:dyDescent="0.3">
      <c r="A85" s="13"/>
      <c r="B85" s="3"/>
      <c r="C85" s="3"/>
      <c r="D85" s="3"/>
      <c r="E85" s="3"/>
      <c r="F85" s="3"/>
      <c r="G85" s="3"/>
      <c r="H85" s="3"/>
      <c r="I85" s="3"/>
      <c r="J85" s="32"/>
      <c r="K85" s="3"/>
    </row>
    <row r="86" spans="1:11" x14ac:dyDescent="0.3">
      <c r="A86" s="13"/>
    </row>
    <row r="87" spans="1:11" ht="15.75" customHeight="1" x14ac:dyDescent="0.3"/>
    <row r="88" spans="1:11" x14ac:dyDescent="0.3">
      <c r="A88" s="13"/>
      <c r="B88" s="1"/>
    </row>
    <row r="90" spans="1:11" x14ac:dyDescent="0.3">
      <c r="A90" s="13"/>
      <c r="B90" s="1"/>
    </row>
    <row r="91" spans="1:11" x14ac:dyDescent="0.3">
      <c r="A91" s="13"/>
      <c r="B91" s="3"/>
      <c r="C91" s="3"/>
      <c r="D91" s="3"/>
      <c r="E91" s="3"/>
      <c r="F91" s="3"/>
      <c r="G91" s="3"/>
      <c r="H91" s="3"/>
      <c r="I91" s="3"/>
      <c r="J91" s="32"/>
      <c r="K91" s="3"/>
    </row>
    <row r="92" spans="1:11" ht="22.5" customHeight="1" x14ac:dyDescent="0.3"/>
    <row r="93" spans="1:11" x14ac:dyDescent="0.3">
      <c r="A93" s="13"/>
      <c r="B93" s="14"/>
      <c r="C93" s="14"/>
      <c r="D93" s="14"/>
      <c r="E93" s="14"/>
      <c r="F93" s="14"/>
      <c r="G93" s="14"/>
      <c r="H93" s="14"/>
      <c r="I93" s="14"/>
      <c r="J93" s="14"/>
      <c r="K93" s="14"/>
    </row>
    <row r="94" spans="1:11" x14ac:dyDescent="0.3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</row>
    <row r="95" spans="1:11" x14ac:dyDescent="0.3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</row>
    <row r="96" spans="1:11" x14ac:dyDescent="0.3">
      <c r="A96" s="3"/>
      <c r="B96" s="13"/>
      <c r="C96" s="13"/>
      <c r="D96" s="13"/>
      <c r="E96" s="13"/>
      <c r="F96" s="13"/>
      <c r="G96" s="13"/>
      <c r="H96" s="13"/>
      <c r="I96" s="13"/>
      <c r="J96" s="15"/>
      <c r="K96" s="13"/>
    </row>
    <row r="97" spans="1:11" x14ac:dyDescent="0.3">
      <c r="A97" s="3"/>
      <c r="B97" s="13"/>
      <c r="C97" s="13"/>
      <c r="D97" s="13"/>
      <c r="E97" s="13"/>
      <c r="F97" s="13"/>
      <c r="H97" s="14"/>
      <c r="I97" s="13"/>
      <c r="J97" s="15"/>
      <c r="K97" s="15"/>
    </row>
    <row r="98" spans="1:11" x14ac:dyDescent="0.3">
      <c r="A98" s="3"/>
      <c r="B98" s="13"/>
      <c r="C98" s="13"/>
      <c r="D98" s="13"/>
      <c r="E98" s="13"/>
      <c r="F98" s="13"/>
      <c r="H98" s="13"/>
      <c r="I98" s="13"/>
      <c r="J98" s="15"/>
      <c r="K98" s="13"/>
    </row>
    <row r="99" spans="1:11" x14ac:dyDescent="0.3">
      <c r="A99" s="3"/>
      <c r="B99" s="13"/>
      <c r="C99" s="13"/>
      <c r="D99" s="13"/>
      <c r="E99" s="13"/>
      <c r="F99" s="13"/>
      <c r="H99" s="3"/>
      <c r="I99" s="3"/>
      <c r="J99" s="32"/>
      <c r="K99" s="3"/>
    </row>
    <row r="100" spans="1:11" x14ac:dyDescent="0.3">
      <c r="A100" s="3"/>
      <c r="B100" s="13"/>
      <c r="C100" s="13"/>
      <c r="D100" s="13"/>
      <c r="E100" s="13"/>
      <c r="F100" s="13"/>
      <c r="H100" s="3"/>
      <c r="I100" s="3"/>
      <c r="J100" s="32"/>
      <c r="K100" s="3"/>
    </row>
    <row r="101" spans="1:11" x14ac:dyDescent="0.3">
      <c r="A101" s="3"/>
      <c r="B101" s="13"/>
      <c r="C101" s="13"/>
      <c r="D101" s="13"/>
      <c r="E101" s="13"/>
      <c r="F101" s="13"/>
      <c r="H101" s="3"/>
      <c r="I101" s="3"/>
      <c r="J101" s="32"/>
      <c r="K101" s="3"/>
    </row>
    <row r="102" spans="1:11" x14ac:dyDescent="0.3">
      <c r="A102" s="3"/>
      <c r="B102" s="13"/>
      <c r="C102" s="13"/>
      <c r="D102" s="13"/>
      <c r="E102" s="13"/>
      <c r="F102" s="13"/>
      <c r="H102" s="3"/>
      <c r="I102" s="3"/>
      <c r="J102" s="32"/>
      <c r="K102" s="3"/>
    </row>
    <row r="103" spans="1:11" x14ac:dyDescent="0.3">
      <c r="A103" s="3"/>
      <c r="B103" s="13"/>
      <c r="C103" s="13"/>
      <c r="D103" s="13"/>
      <c r="E103" s="13"/>
      <c r="F103" s="13"/>
      <c r="H103" s="3"/>
      <c r="I103" s="3"/>
      <c r="J103" s="32"/>
      <c r="K103" s="3"/>
    </row>
    <row r="105" spans="1:1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2"/>
      <c r="K105" s="3"/>
    </row>
    <row r="106" spans="1:1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2"/>
      <c r="K106" s="3"/>
    </row>
    <row r="107" spans="1:1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2"/>
      <c r="K107" s="3"/>
    </row>
    <row r="108" spans="1:11" x14ac:dyDescent="0.3">
      <c r="A108" s="159"/>
      <c r="B108" s="3"/>
      <c r="C108" s="3"/>
      <c r="D108" s="3"/>
      <c r="E108" s="3"/>
      <c r="F108" s="3"/>
      <c r="G108" s="3"/>
      <c r="H108" s="3"/>
      <c r="I108" s="3"/>
      <c r="J108" s="32"/>
      <c r="K108" s="3"/>
    </row>
  </sheetData>
  <autoFilter ref="A19:K67" xr:uid="{00000000-0009-0000-0000-000008000000}">
    <filterColumn colId="3" showButton="0"/>
    <filterColumn colId="4" showButton="0"/>
    <filterColumn colId="5" showButton="0"/>
  </autoFilter>
  <mergeCells count="12">
    <mergeCell ref="K1:K3"/>
    <mergeCell ref="A7:K7"/>
    <mergeCell ref="A8:K8"/>
    <mergeCell ref="A9:K9"/>
    <mergeCell ref="A19:A20"/>
    <mergeCell ref="B19:B20"/>
    <mergeCell ref="C19:C20"/>
    <mergeCell ref="D19:G19"/>
    <mergeCell ref="H19:H20"/>
    <mergeCell ref="I19:I20"/>
    <mergeCell ref="J19:J20"/>
    <mergeCell ref="K19:K20"/>
  </mergeCells>
  <pageMargins left="0.51181102362204722" right="0.31496062992125984" top="0.28999999999999998" bottom="0.27559055118110237" header="0.18" footer="0.19685039370078741"/>
  <pageSetup paperSize="14" scale="91" fitToHeight="0" orientation="portrait" horizontalDpi="4294967292" verticalDpi="4294967292" r:id="rId1"/>
  <rowBreaks count="1" manualBreakCount="1">
    <brk id="81" max="16383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0.39997558519241921"/>
    <pageSetUpPr fitToPage="1"/>
  </sheetPr>
  <dimension ref="A1:O111"/>
  <sheetViews>
    <sheetView zoomScale="110" zoomScaleNormal="120" zoomScaleSheetLayoutView="145" zoomScalePageLayoutView="106" workbookViewId="0">
      <selection activeCell="M20" sqref="M20"/>
    </sheetView>
  </sheetViews>
  <sheetFormatPr defaultColWidth="8.88671875" defaultRowHeight="14.4" x14ac:dyDescent="0.3"/>
  <cols>
    <col min="1" max="1" width="4.44140625" customWidth="1"/>
    <col min="2" max="2" width="14" customWidth="1"/>
    <col min="3" max="3" width="30" customWidth="1"/>
    <col min="4" max="4" width="7.109375" customWidth="1"/>
    <col min="5" max="5" width="7.44140625" customWidth="1"/>
    <col min="6" max="6" width="7.44140625" hidden="1" customWidth="1"/>
    <col min="7" max="7" width="6.21875" customWidth="1"/>
    <col min="8" max="8" width="6.6640625" customWidth="1"/>
    <col min="9" max="9" width="7.21875" customWidth="1"/>
    <col min="10" max="10" width="9.44140625" style="9" customWidth="1"/>
    <col min="11" max="11" width="15.44140625" customWidth="1"/>
  </cols>
  <sheetData>
    <row r="1" spans="1:11" ht="14.25" customHeight="1" x14ac:dyDescent="0.3">
      <c r="B1" s="1" t="s">
        <v>39</v>
      </c>
    </row>
    <row r="2" spans="1:11" ht="13.5" customHeight="1" x14ac:dyDescent="0.3">
      <c r="B2" s="2" t="s">
        <v>48</v>
      </c>
    </row>
    <row r="3" spans="1:11" ht="12" customHeight="1" x14ac:dyDescent="0.3">
      <c r="B3" s="1" t="s">
        <v>38</v>
      </c>
    </row>
    <row r="4" spans="1:11" ht="6.75" customHeight="1" x14ac:dyDescent="0.3">
      <c r="A4" s="3"/>
      <c r="B4" s="3"/>
      <c r="C4" s="3"/>
      <c r="D4" s="3"/>
      <c r="E4" s="3"/>
      <c r="F4" s="3"/>
      <c r="G4" s="3"/>
      <c r="H4" s="3"/>
      <c r="I4" s="3"/>
      <c r="J4" s="32"/>
      <c r="K4" s="3"/>
    </row>
    <row r="5" spans="1:11" ht="12.6" customHeight="1" x14ac:dyDescent="0.3">
      <c r="A5" s="282" t="s">
        <v>53</v>
      </c>
      <c r="B5" s="282"/>
      <c r="C5" s="52"/>
      <c r="D5" s="52"/>
      <c r="E5" s="52"/>
      <c r="F5" s="52"/>
      <c r="G5" s="52"/>
      <c r="H5" s="52"/>
      <c r="I5" s="52"/>
      <c r="J5" s="56"/>
      <c r="K5" s="52"/>
    </row>
    <row r="6" spans="1:11" ht="3" customHeight="1" x14ac:dyDescent="0.3">
      <c r="A6" s="55"/>
      <c r="B6" s="52"/>
      <c r="C6" s="52"/>
      <c r="D6" s="52"/>
      <c r="E6" s="52"/>
      <c r="F6" s="52"/>
      <c r="G6" s="52"/>
      <c r="H6" s="52"/>
      <c r="I6" s="52"/>
      <c r="J6" s="56"/>
      <c r="K6" s="52"/>
    </row>
    <row r="7" spans="1:11" ht="11.4" customHeight="1" x14ac:dyDescent="0.3">
      <c r="A7" s="693" t="s">
        <v>0</v>
      </c>
      <c r="B7" s="693"/>
      <c r="C7" s="693"/>
      <c r="D7" s="693"/>
      <c r="E7" s="693"/>
      <c r="F7" s="693"/>
      <c r="G7" s="693"/>
      <c r="H7" s="693"/>
      <c r="I7" s="693"/>
      <c r="J7" s="693"/>
      <c r="K7" s="693"/>
    </row>
    <row r="8" spans="1:11" ht="13.2" customHeight="1" x14ac:dyDescent="0.3">
      <c r="A8" s="533" t="s">
        <v>313</v>
      </c>
      <c r="B8" s="533"/>
      <c r="C8" s="533"/>
      <c r="D8" s="533"/>
      <c r="E8" s="533"/>
      <c r="F8" s="533"/>
      <c r="G8" s="533"/>
      <c r="H8" s="533"/>
      <c r="I8" s="533"/>
      <c r="J8" s="533"/>
      <c r="K8" s="533"/>
    </row>
    <row r="9" spans="1:11" ht="12.6" customHeight="1" x14ac:dyDescent="0.3">
      <c r="A9" s="702" t="s">
        <v>314</v>
      </c>
      <c r="B9" s="702"/>
      <c r="C9" s="702"/>
      <c r="D9" s="702"/>
      <c r="E9" s="702"/>
      <c r="F9" s="702"/>
      <c r="G9" s="702"/>
      <c r="H9" s="702"/>
      <c r="I9" s="702"/>
      <c r="J9" s="702"/>
      <c r="K9" s="702"/>
    </row>
    <row r="10" spans="1:11" ht="1.2" customHeight="1" x14ac:dyDescent="0.3">
      <c r="A10" s="13"/>
      <c r="B10" s="13"/>
      <c r="C10" s="13"/>
      <c r="D10" s="13"/>
      <c r="E10" s="13"/>
      <c r="F10" s="13"/>
      <c r="G10" s="13"/>
      <c r="H10" s="13"/>
      <c r="I10" s="13"/>
      <c r="J10" s="15"/>
      <c r="K10" s="13"/>
    </row>
    <row r="11" spans="1:11" ht="13.5" customHeight="1" x14ac:dyDescent="0.3">
      <c r="A11" s="190" t="s">
        <v>43</v>
      </c>
      <c r="B11" s="52"/>
      <c r="C11" s="38" t="s">
        <v>63</v>
      </c>
      <c r="D11" s="38"/>
      <c r="E11" s="38"/>
      <c r="F11" s="13"/>
      <c r="H11" s="14" t="s">
        <v>1</v>
      </c>
      <c r="I11" s="52"/>
      <c r="J11" s="56"/>
      <c r="K11" s="519">
        <v>47</v>
      </c>
    </row>
    <row r="12" spans="1:11" ht="14.25" customHeight="1" x14ac:dyDescent="0.3">
      <c r="A12" s="190" t="s">
        <v>44</v>
      </c>
      <c r="B12" s="52"/>
      <c r="C12" s="38" t="s">
        <v>64</v>
      </c>
      <c r="D12" s="38"/>
      <c r="E12" s="38"/>
      <c r="F12" s="13"/>
      <c r="H12" s="13" t="s">
        <v>2</v>
      </c>
      <c r="I12" s="52"/>
      <c r="J12" s="56"/>
      <c r="K12" s="56"/>
    </row>
    <row r="13" spans="1:11" ht="10.8" customHeight="1" x14ac:dyDescent="0.3">
      <c r="A13" s="379" t="s">
        <v>45</v>
      </c>
      <c r="B13" s="52"/>
      <c r="C13" s="281" t="s">
        <v>316</v>
      </c>
      <c r="D13" s="39"/>
      <c r="E13" s="39"/>
      <c r="F13" s="13"/>
      <c r="H13" s="52"/>
      <c r="I13" s="379" t="s">
        <v>3</v>
      </c>
      <c r="J13" s="56"/>
      <c r="K13" s="384">
        <v>0</v>
      </c>
    </row>
    <row r="14" spans="1:11" ht="12.75" customHeight="1" x14ac:dyDescent="0.3">
      <c r="A14" s="13" t="s">
        <v>46</v>
      </c>
      <c r="B14" s="52"/>
      <c r="C14" s="281" t="s">
        <v>317</v>
      </c>
      <c r="D14" s="39"/>
      <c r="E14" s="39"/>
      <c r="F14" s="13"/>
      <c r="H14" s="52"/>
      <c r="I14" s="379" t="s">
        <v>4</v>
      </c>
      <c r="J14" s="56"/>
      <c r="K14" s="384">
        <v>0</v>
      </c>
    </row>
    <row r="15" spans="1:11" ht="12.75" customHeight="1" x14ac:dyDescent="0.3">
      <c r="A15" s="190" t="s">
        <v>47</v>
      </c>
      <c r="B15" s="52"/>
      <c r="C15" s="281" t="s">
        <v>318</v>
      </c>
      <c r="D15" s="39"/>
      <c r="E15" s="39"/>
      <c r="F15" s="13"/>
      <c r="H15" s="52"/>
      <c r="I15" s="13" t="s">
        <v>5</v>
      </c>
      <c r="J15" s="277"/>
      <c r="K15" s="384">
        <v>1</v>
      </c>
    </row>
    <row r="16" spans="1:11" ht="12" customHeight="1" x14ac:dyDescent="0.3">
      <c r="A16" s="13"/>
      <c r="B16" s="13"/>
      <c r="C16" s="13"/>
      <c r="D16" s="13"/>
      <c r="E16" s="13"/>
      <c r="F16" s="13"/>
      <c r="H16" s="52"/>
      <c r="I16" s="383" t="s">
        <v>6</v>
      </c>
      <c r="J16" s="56"/>
      <c r="K16" s="384">
        <v>6</v>
      </c>
    </row>
    <row r="17" spans="1:11" ht="11.25" customHeight="1" x14ac:dyDescent="0.3">
      <c r="A17" s="13"/>
      <c r="B17" s="13"/>
      <c r="C17" s="13"/>
      <c r="D17" s="13"/>
      <c r="E17" s="13"/>
      <c r="F17" s="13"/>
      <c r="H17" s="52"/>
      <c r="I17" s="379" t="s">
        <v>7</v>
      </c>
      <c r="J17" s="56"/>
      <c r="K17" s="191">
        <v>40</v>
      </c>
    </row>
    <row r="18" spans="1:11" ht="10.5" customHeight="1" x14ac:dyDescent="0.3">
      <c r="A18" s="13"/>
      <c r="B18" s="13"/>
      <c r="C18" s="13"/>
      <c r="D18" s="13"/>
      <c r="E18" s="13"/>
      <c r="F18" s="13"/>
      <c r="G18" s="13"/>
      <c r="H18" s="13"/>
      <c r="I18" s="13"/>
      <c r="J18" s="15"/>
      <c r="K18" s="13"/>
    </row>
    <row r="19" spans="1:11" ht="11.25" customHeight="1" x14ac:dyDescent="0.3">
      <c r="A19" s="534" t="s">
        <v>8</v>
      </c>
      <c r="B19" s="535" t="s">
        <v>9</v>
      </c>
      <c r="C19" s="535" t="s">
        <v>51</v>
      </c>
      <c r="D19" s="534" t="s">
        <v>12</v>
      </c>
      <c r="E19" s="534"/>
      <c r="F19" s="534"/>
      <c r="G19" s="534"/>
      <c r="H19" s="535" t="s">
        <v>14</v>
      </c>
      <c r="I19" s="535" t="s">
        <v>13</v>
      </c>
      <c r="J19" s="535" t="s">
        <v>54</v>
      </c>
      <c r="K19" s="535" t="s">
        <v>16</v>
      </c>
    </row>
    <row r="20" spans="1:11" ht="20.399999999999999" customHeight="1" x14ac:dyDescent="0.3">
      <c r="A20" s="534"/>
      <c r="B20" s="535"/>
      <c r="C20" s="535"/>
      <c r="D20" s="385" t="s">
        <v>10</v>
      </c>
      <c r="E20" s="385" t="s">
        <v>15</v>
      </c>
      <c r="F20" s="62"/>
      <c r="G20" s="189" t="s">
        <v>11</v>
      </c>
      <c r="H20" s="535"/>
      <c r="I20" s="535"/>
      <c r="J20" s="535"/>
      <c r="K20" s="535"/>
    </row>
    <row r="21" spans="1:11" ht="10.8" customHeight="1" x14ac:dyDescent="0.3">
      <c r="A21" s="40"/>
      <c r="B21" s="183"/>
      <c r="C21" s="184" t="s">
        <v>35</v>
      </c>
      <c r="D21" s="47"/>
      <c r="E21" s="184"/>
      <c r="F21" s="184"/>
      <c r="G21" s="184"/>
      <c r="H21" s="184"/>
      <c r="I21" s="184"/>
      <c r="J21" s="184"/>
      <c r="K21" s="183"/>
    </row>
    <row r="22" spans="1:11" ht="13.2" customHeight="1" x14ac:dyDescent="0.3">
      <c r="A22" s="61">
        <v>1</v>
      </c>
      <c r="B22" s="415" t="s">
        <v>212</v>
      </c>
      <c r="C22" s="438" t="s">
        <v>213</v>
      </c>
      <c r="D22" s="441">
        <v>1.6</v>
      </c>
      <c r="E22" s="61">
        <v>2.2000000000000002</v>
      </c>
      <c r="F22" s="427"/>
      <c r="G22" s="428">
        <f>(D22+E22)/2</f>
        <v>1.9000000000000001</v>
      </c>
      <c r="H22" s="445"/>
      <c r="I22" s="429">
        <v>3</v>
      </c>
      <c r="J22" s="459">
        <v>54</v>
      </c>
      <c r="K22" s="414" t="s">
        <v>91</v>
      </c>
    </row>
    <row r="23" spans="1:11" ht="10.5" customHeight="1" x14ac:dyDescent="0.3">
      <c r="A23" s="61">
        <v>2</v>
      </c>
      <c r="B23" s="415" t="s">
        <v>214</v>
      </c>
      <c r="C23" s="438" t="s">
        <v>215</v>
      </c>
      <c r="D23" s="441">
        <v>2.5</v>
      </c>
      <c r="E23" s="61">
        <v>2.1</v>
      </c>
      <c r="F23" s="427"/>
      <c r="G23" s="428">
        <f t="shared" ref="G23:G65" si="0">(D23+E23)/2</f>
        <v>2.2999999999999998</v>
      </c>
      <c r="H23" s="445"/>
      <c r="I23" s="429">
        <v>3</v>
      </c>
      <c r="J23" s="459">
        <v>54</v>
      </c>
      <c r="K23" s="414" t="s">
        <v>91</v>
      </c>
    </row>
    <row r="24" spans="1:11" ht="12" customHeight="1" x14ac:dyDescent="0.3">
      <c r="A24" s="61">
        <v>3</v>
      </c>
      <c r="B24" s="415" t="s">
        <v>216</v>
      </c>
      <c r="C24" s="438" t="s">
        <v>217</v>
      </c>
      <c r="D24" s="441">
        <v>2.2000000000000002</v>
      </c>
      <c r="E24" s="61">
        <v>2.7</v>
      </c>
      <c r="F24" s="427"/>
      <c r="G24" s="428">
        <v>2.4</v>
      </c>
      <c r="H24" s="445"/>
      <c r="I24" s="429">
        <v>3</v>
      </c>
      <c r="J24" s="459">
        <v>54</v>
      </c>
      <c r="K24" s="414" t="s">
        <v>91</v>
      </c>
    </row>
    <row r="25" spans="1:11" ht="10.5" customHeight="1" x14ac:dyDescent="0.3">
      <c r="A25" s="61">
        <v>4</v>
      </c>
      <c r="B25" s="415" t="s">
        <v>218</v>
      </c>
      <c r="C25" s="438" t="s">
        <v>219</v>
      </c>
      <c r="D25" s="441">
        <v>2.4</v>
      </c>
      <c r="E25" s="61">
        <v>2.5</v>
      </c>
      <c r="F25" s="427"/>
      <c r="G25" s="428">
        <v>2.4</v>
      </c>
      <c r="H25" s="445"/>
      <c r="I25" s="429">
        <v>3</v>
      </c>
      <c r="J25" s="459">
        <v>54</v>
      </c>
      <c r="K25" s="414" t="s">
        <v>91</v>
      </c>
    </row>
    <row r="26" spans="1:11" ht="11.4" customHeight="1" x14ac:dyDescent="0.3">
      <c r="A26" s="61">
        <v>5</v>
      </c>
      <c r="B26" s="415" t="s">
        <v>220</v>
      </c>
      <c r="C26" s="438" t="s">
        <v>221</v>
      </c>
      <c r="D26" s="441">
        <v>2.1</v>
      </c>
      <c r="E26" s="61">
        <v>2.5</v>
      </c>
      <c r="F26" s="431"/>
      <c r="G26" s="428">
        <f t="shared" si="0"/>
        <v>2.2999999999999998</v>
      </c>
      <c r="H26" s="445"/>
      <c r="I26" s="429">
        <v>3</v>
      </c>
      <c r="J26" s="459">
        <v>54</v>
      </c>
      <c r="K26" s="414" t="s">
        <v>91</v>
      </c>
    </row>
    <row r="27" spans="1:11" ht="11.25" customHeight="1" x14ac:dyDescent="0.3">
      <c r="A27" s="415">
        <v>6</v>
      </c>
      <c r="B27" s="415" t="s">
        <v>222</v>
      </c>
      <c r="C27" s="438" t="s">
        <v>223</v>
      </c>
      <c r="D27" s="441">
        <v>2.6</v>
      </c>
      <c r="E27" s="61">
        <v>2.8</v>
      </c>
      <c r="F27" s="431"/>
      <c r="G27" s="428">
        <f t="shared" si="0"/>
        <v>2.7</v>
      </c>
      <c r="H27" s="445"/>
      <c r="I27" s="429">
        <v>3</v>
      </c>
      <c r="J27" s="459">
        <v>54</v>
      </c>
      <c r="K27" s="414" t="s">
        <v>91</v>
      </c>
    </row>
    <row r="28" spans="1:11" ht="11.4" customHeight="1" x14ac:dyDescent="0.3">
      <c r="A28" s="415">
        <v>7</v>
      </c>
      <c r="B28" s="415" t="s">
        <v>226</v>
      </c>
      <c r="C28" s="438" t="s">
        <v>227</v>
      </c>
      <c r="D28" s="441">
        <v>2.2999999999999998</v>
      </c>
      <c r="E28" s="61">
        <v>2.5</v>
      </c>
      <c r="F28" s="431"/>
      <c r="G28" s="428">
        <f t="shared" si="0"/>
        <v>2.4</v>
      </c>
      <c r="H28" s="445"/>
      <c r="I28" s="429">
        <v>3</v>
      </c>
      <c r="J28" s="459">
        <v>54</v>
      </c>
      <c r="K28" s="414" t="s">
        <v>91</v>
      </c>
    </row>
    <row r="29" spans="1:11" ht="10.8" customHeight="1" x14ac:dyDescent="0.3">
      <c r="A29" s="415">
        <v>8</v>
      </c>
      <c r="B29" s="415" t="s">
        <v>228</v>
      </c>
      <c r="C29" s="438" t="s">
        <v>229</v>
      </c>
      <c r="D29" s="441">
        <v>2.7</v>
      </c>
      <c r="E29" s="61">
        <v>2.2999999999999998</v>
      </c>
      <c r="F29" s="431"/>
      <c r="G29" s="428">
        <f t="shared" si="0"/>
        <v>2.5</v>
      </c>
      <c r="H29" s="445"/>
      <c r="I29" s="429">
        <v>3</v>
      </c>
      <c r="J29" s="459">
        <v>54</v>
      </c>
      <c r="K29" s="414" t="s">
        <v>91</v>
      </c>
    </row>
    <row r="30" spans="1:11" ht="11.25" customHeight="1" x14ac:dyDescent="0.3">
      <c r="A30" s="415">
        <v>9</v>
      </c>
      <c r="B30" s="415" t="s">
        <v>230</v>
      </c>
      <c r="C30" s="438" t="s">
        <v>231</v>
      </c>
      <c r="D30" s="441">
        <v>2.2999999999999998</v>
      </c>
      <c r="E30" s="61">
        <v>2.6</v>
      </c>
      <c r="F30" s="431"/>
      <c r="G30" s="428">
        <v>2.4</v>
      </c>
      <c r="H30" s="445"/>
      <c r="I30" s="429">
        <v>3</v>
      </c>
      <c r="J30" s="459">
        <v>54</v>
      </c>
      <c r="K30" s="414" t="s">
        <v>91</v>
      </c>
    </row>
    <row r="31" spans="1:11" ht="12" customHeight="1" x14ac:dyDescent="0.3">
      <c r="A31" s="415">
        <v>10</v>
      </c>
      <c r="B31" s="415" t="s">
        <v>232</v>
      </c>
      <c r="C31" s="438" t="s">
        <v>233</v>
      </c>
      <c r="D31" s="441">
        <v>2.4</v>
      </c>
      <c r="E31" s="61">
        <v>2.2000000000000002</v>
      </c>
      <c r="F31" s="431"/>
      <c r="G31" s="428">
        <f t="shared" si="0"/>
        <v>2.2999999999999998</v>
      </c>
      <c r="H31" s="445"/>
      <c r="I31" s="429">
        <v>3</v>
      </c>
      <c r="J31" s="459">
        <v>54</v>
      </c>
      <c r="K31" s="414" t="s">
        <v>91</v>
      </c>
    </row>
    <row r="32" spans="1:11" ht="10.8" customHeight="1" x14ac:dyDescent="0.3">
      <c r="A32" s="415">
        <v>11</v>
      </c>
      <c r="B32" s="415" t="s">
        <v>234</v>
      </c>
      <c r="C32" s="438" t="s">
        <v>235</v>
      </c>
      <c r="D32" s="442">
        <v>2</v>
      </c>
      <c r="E32" s="61">
        <v>2.6</v>
      </c>
      <c r="F32" s="431"/>
      <c r="G32" s="428">
        <f t="shared" si="0"/>
        <v>2.2999999999999998</v>
      </c>
      <c r="H32" s="445"/>
      <c r="I32" s="429">
        <v>3</v>
      </c>
      <c r="J32" s="459">
        <v>54</v>
      </c>
      <c r="K32" s="414" t="s">
        <v>91</v>
      </c>
    </row>
    <row r="33" spans="1:11" ht="10.5" customHeight="1" x14ac:dyDescent="0.3">
      <c r="A33" s="415">
        <v>12</v>
      </c>
      <c r="B33" s="415" t="s">
        <v>236</v>
      </c>
      <c r="C33" s="438" t="s">
        <v>237</v>
      </c>
      <c r="D33" s="441">
        <v>2.2000000000000002</v>
      </c>
      <c r="E33" s="61">
        <v>2.1</v>
      </c>
      <c r="F33" s="431"/>
      <c r="G33" s="428">
        <v>2.1</v>
      </c>
      <c r="H33" s="445"/>
      <c r="I33" s="429">
        <v>3</v>
      </c>
      <c r="J33" s="459">
        <v>54</v>
      </c>
      <c r="K33" s="414" t="s">
        <v>91</v>
      </c>
    </row>
    <row r="34" spans="1:11" ht="11.25" customHeight="1" x14ac:dyDescent="0.3">
      <c r="A34" s="415">
        <v>13</v>
      </c>
      <c r="B34" s="415" t="s">
        <v>238</v>
      </c>
      <c r="C34" s="438" t="s">
        <v>239</v>
      </c>
      <c r="D34" s="442">
        <v>1.9</v>
      </c>
      <c r="E34" s="61">
        <v>1.9</v>
      </c>
      <c r="F34" s="431"/>
      <c r="G34" s="428">
        <f t="shared" si="0"/>
        <v>1.9</v>
      </c>
      <c r="H34" s="445"/>
      <c r="I34" s="429">
        <v>3</v>
      </c>
      <c r="J34" s="459">
        <v>54</v>
      </c>
      <c r="K34" s="414" t="s">
        <v>91</v>
      </c>
    </row>
    <row r="35" spans="1:11" ht="9.75" customHeight="1" x14ac:dyDescent="0.3">
      <c r="A35" s="415">
        <v>14</v>
      </c>
      <c r="B35" s="415" t="s">
        <v>240</v>
      </c>
      <c r="C35" s="438" t="s">
        <v>241</v>
      </c>
      <c r="D35" s="441">
        <v>2.4</v>
      </c>
      <c r="E35" s="61">
        <v>2.2999999999999998</v>
      </c>
      <c r="F35" s="431"/>
      <c r="G35" s="428">
        <v>2.2999999999999998</v>
      </c>
      <c r="H35" s="445"/>
      <c r="I35" s="429">
        <v>3</v>
      </c>
      <c r="J35" s="459">
        <v>54</v>
      </c>
      <c r="K35" s="414" t="s">
        <v>91</v>
      </c>
    </row>
    <row r="36" spans="1:11" ht="12" customHeight="1" x14ac:dyDescent="0.3">
      <c r="A36" s="415">
        <v>15</v>
      </c>
      <c r="B36" s="415" t="s">
        <v>242</v>
      </c>
      <c r="C36" s="438" t="s">
        <v>243</v>
      </c>
      <c r="D36" s="441">
        <v>2.4</v>
      </c>
      <c r="E36" s="61">
        <v>2.4</v>
      </c>
      <c r="F36" s="431"/>
      <c r="G36" s="428">
        <f t="shared" si="0"/>
        <v>2.4</v>
      </c>
      <c r="H36" s="445"/>
      <c r="I36" s="429">
        <v>3</v>
      </c>
      <c r="J36" s="459">
        <v>54</v>
      </c>
      <c r="K36" s="414" t="s">
        <v>91</v>
      </c>
    </row>
    <row r="37" spans="1:11" ht="12" customHeight="1" x14ac:dyDescent="0.3">
      <c r="A37" s="415">
        <v>16</v>
      </c>
      <c r="B37" s="415" t="s">
        <v>244</v>
      </c>
      <c r="C37" s="438" t="s">
        <v>245</v>
      </c>
      <c r="D37" s="441">
        <v>2.4</v>
      </c>
      <c r="E37" s="61">
        <v>2.7</v>
      </c>
      <c r="F37" s="431"/>
      <c r="G37" s="428">
        <v>2.5</v>
      </c>
      <c r="H37" s="445"/>
      <c r="I37" s="429">
        <v>3</v>
      </c>
      <c r="J37" s="459">
        <v>54</v>
      </c>
      <c r="K37" s="414" t="s">
        <v>91</v>
      </c>
    </row>
    <row r="38" spans="1:11" ht="11.25" customHeight="1" x14ac:dyDescent="0.3">
      <c r="A38" s="415">
        <v>17</v>
      </c>
      <c r="B38" s="415" t="s">
        <v>246</v>
      </c>
      <c r="C38" s="438" t="s">
        <v>247</v>
      </c>
      <c r="D38" s="441">
        <v>2.7</v>
      </c>
      <c r="E38" s="61">
        <v>2.2000000000000002</v>
      </c>
      <c r="F38" s="431"/>
      <c r="G38" s="428">
        <v>2.4</v>
      </c>
      <c r="H38" s="445"/>
      <c r="I38" s="429">
        <v>3</v>
      </c>
      <c r="J38" s="459">
        <v>54</v>
      </c>
      <c r="K38" s="414" t="s">
        <v>91</v>
      </c>
    </row>
    <row r="39" spans="1:11" ht="11.25" customHeight="1" x14ac:dyDescent="0.3">
      <c r="A39" s="415">
        <v>18</v>
      </c>
      <c r="B39" s="219" t="s">
        <v>248</v>
      </c>
      <c r="C39" s="439" t="s">
        <v>249</v>
      </c>
      <c r="D39" s="443">
        <v>2.6</v>
      </c>
      <c r="E39" s="61" t="s">
        <v>93</v>
      </c>
      <c r="F39" s="431"/>
      <c r="G39" s="428" t="s">
        <v>92</v>
      </c>
      <c r="H39" s="445"/>
      <c r="I39" s="429">
        <v>0</v>
      </c>
      <c r="J39" s="61">
        <v>42</v>
      </c>
      <c r="K39" s="437" t="s">
        <v>97</v>
      </c>
    </row>
    <row r="40" spans="1:11" ht="11.25" customHeight="1" x14ac:dyDescent="0.3">
      <c r="A40" s="415">
        <v>19</v>
      </c>
      <c r="B40" s="415" t="s">
        <v>250</v>
      </c>
      <c r="C40" s="438" t="s">
        <v>251</v>
      </c>
      <c r="D40" s="441">
        <v>2.2999999999999998</v>
      </c>
      <c r="E40" s="61">
        <v>2.7</v>
      </c>
      <c r="F40" s="431"/>
      <c r="G40" s="428">
        <f t="shared" si="0"/>
        <v>2.5</v>
      </c>
      <c r="H40" s="445"/>
      <c r="I40" s="429">
        <v>3</v>
      </c>
      <c r="J40" s="61">
        <v>52.5</v>
      </c>
      <c r="K40" s="414" t="s">
        <v>91</v>
      </c>
    </row>
    <row r="41" spans="1:11" ht="10.8" customHeight="1" x14ac:dyDescent="0.3">
      <c r="A41" s="415">
        <v>20</v>
      </c>
      <c r="B41" s="415" t="s">
        <v>252</v>
      </c>
      <c r="C41" s="438" t="s">
        <v>253</v>
      </c>
      <c r="D41" s="441">
        <v>2.2000000000000002</v>
      </c>
      <c r="E41" s="61">
        <v>2.2999999999999998</v>
      </c>
      <c r="F41" s="433"/>
      <c r="G41" s="428">
        <v>2.2000000000000002</v>
      </c>
      <c r="H41" s="445"/>
      <c r="I41" s="429">
        <v>3</v>
      </c>
      <c r="J41" s="61">
        <v>54</v>
      </c>
      <c r="K41" s="414" t="s">
        <v>91</v>
      </c>
    </row>
    <row r="42" spans="1:11" ht="12" customHeight="1" x14ac:dyDescent="0.3">
      <c r="A42" s="415">
        <v>21</v>
      </c>
      <c r="B42" s="219" t="s">
        <v>254</v>
      </c>
      <c r="C42" s="439" t="s">
        <v>255</v>
      </c>
      <c r="D42" s="443" t="s">
        <v>93</v>
      </c>
      <c r="E42" s="61" t="s">
        <v>93</v>
      </c>
      <c r="F42" s="431"/>
      <c r="G42" s="428" t="s">
        <v>95</v>
      </c>
      <c r="H42" s="445"/>
      <c r="I42" s="429">
        <v>0</v>
      </c>
      <c r="J42" s="61">
        <v>3</v>
      </c>
      <c r="K42" s="435">
        <v>45911</v>
      </c>
    </row>
    <row r="43" spans="1:11" ht="11.4" customHeight="1" x14ac:dyDescent="0.3">
      <c r="A43" s="415">
        <v>22</v>
      </c>
      <c r="B43" s="415" t="s">
        <v>256</v>
      </c>
      <c r="C43" s="438" t="s">
        <v>257</v>
      </c>
      <c r="D43" s="441">
        <v>2.4</v>
      </c>
      <c r="E43" s="61">
        <v>2.6</v>
      </c>
      <c r="F43" s="431"/>
      <c r="G43" s="428">
        <f t="shared" si="0"/>
        <v>2.5</v>
      </c>
      <c r="H43" s="445"/>
      <c r="I43" s="429">
        <v>3</v>
      </c>
      <c r="J43" s="61">
        <v>49.5</v>
      </c>
      <c r="K43" s="434" t="s">
        <v>91</v>
      </c>
    </row>
    <row r="44" spans="1:11" ht="11.25" customHeight="1" x14ac:dyDescent="0.3">
      <c r="A44" s="415">
        <v>23</v>
      </c>
      <c r="B44" s="415" t="s">
        <v>258</v>
      </c>
      <c r="C44" s="438" t="s">
        <v>259</v>
      </c>
      <c r="D44" s="441">
        <v>2.6</v>
      </c>
      <c r="E44" s="61">
        <v>2.6</v>
      </c>
      <c r="F44" s="431"/>
      <c r="G44" s="428">
        <f t="shared" si="0"/>
        <v>2.6</v>
      </c>
      <c r="H44" s="445"/>
      <c r="I44" s="429">
        <v>3</v>
      </c>
      <c r="J44" s="61">
        <v>49.5</v>
      </c>
      <c r="K44" s="434" t="s">
        <v>91</v>
      </c>
    </row>
    <row r="45" spans="1:11" ht="11.4" customHeight="1" x14ac:dyDescent="0.3">
      <c r="A45" s="415">
        <v>24</v>
      </c>
      <c r="B45" s="415" t="s">
        <v>260</v>
      </c>
      <c r="C45" s="438" t="s">
        <v>261</v>
      </c>
      <c r="D45" s="441">
        <v>2.1</v>
      </c>
      <c r="E45" s="61">
        <v>2.5</v>
      </c>
      <c r="F45" s="431"/>
      <c r="G45" s="428">
        <f t="shared" si="0"/>
        <v>2.2999999999999998</v>
      </c>
      <c r="H45" s="445"/>
      <c r="I45" s="429">
        <v>3</v>
      </c>
      <c r="J45" s="61">
        <v>51</v>
      </c>
      <c r="K45" s="434" t="s">
        <v>91</v>
      </c>
    </row>
    <row r="46" spans="1:11" ht="11.4" customHeight="1" x14ac:dyDescent="0.3">
      <c r="A46" s="415">
        <v>25</v>
      </c>
      <c r="B46" s="415" t="s">
        <v>262</v>
      </c>
      <c r="C46" s="438" t="s">
        <v>263</v>
      </c>
      <c r="D46" s="441">
        <v>2.1</v>
      </c>
      <c r="E46" s="61">
        <v>2.4</v>
      </c>
      <c r="F46" s="431"/>
      <c r="G46" s="428">
        <v>2.2000000000000002</v>
      </c>
      <c r="H46" s="445"/>
      <c r="I46" s="429">
        <v>3</v>
      </c>
      <c r="J46" s="61">
        <v>54.5</v>
      </c>
      <c r="K46" s="434" t="s">
        <v>91</v>
      </c>
    </row>
    <row r="47" spans="1:11" ht="11.4" customHeight="1" x14ac:dyDescent="0.3">
      <c r="A47" s="523">
        <v>26</v>
      </c>
      <c r="B47" s="523" t="s">
        <v>264</v>
      </c>
      <c r="C47" s="438" t="s">
        <v>265</v>
      </c>
      <c r="D47" s="441">
        <v>2.1</v>
      </c>
      <c r="E47" s="61">
        <v>1.9</v>
      </c>
      <c r="F47" s="431"/>
      <c r="G47" s="428">
        <f t="shared" ref="G47" si="1">(D47+E47)/2</f>
        <v>2</v>
      </c>
      <c r="H47" s="445"/>
      <c r="I47" s="429">
        <v>3</v>
      </c>
      <c r="J47" s="61">
        <v>54</v>
      </c>
      <c r="K47" s="434" t="s">
        <v>91</v>
      </c>
    </row>
    <row r="48" spans="1:11" ht="12" customHeight="1" x14ac:dyDescent="0.3">
      <c r="A48" s="415">
        <v>27</v>
      </c>
      <c r="B48" s="415" t="s">
        <v>266</v>
      </c>
      <c r="C48" s="438" t="s">
        <v>267</v>
      </c>
      <c r="D48" s="441">
        <v>1.8</v>
      </c>
      <c r="E48" s="444">
        <v>2</v>
      </c>
      <c r="F48" s="431"/>
      <c r="G48" s="428">
        <f>(D48+E48)/2</f>
        <v>1.9</v>
      </c>
      <c r="H48" s="445"/>
      <c r="I48" s="429">
        <v>3</v>
      </c>
      <c r="J48" s="61">
        <v>54</v>
      </c>
      <c r="K48" s="434" t="s">
        <v>91</v>
      </c>
    </row>
    <row r="49" spans="1:12" ht="12" customHeight="1" x14ac:dyDescent="0.3">
      <c r="A49" s="523">
        <v>28</v>
      </c>
      <c r="B49" s="415" t="s">
        <v>302</v>
      </c>
      <c r="C49" s="438" t="s">
        <v>303</v>
      </c>
      <c r="D49" s="441">
        <v>2.9</v>
      </c>
      <c r="E49" s="444">
        <v>3</v>
      </c>
      <c r="F49" s="431"/>
      <c r="G49" s="428">
        <v>2.9</v>
      </c>
      <c r="H49" s="445"/>
      <c r="I49" s="429">
        <v>3</v>
      </c>
      <c r="J49" s="61">
        <v>49.5</v>
      </c>
      <c r="K49" s="434" t="s">
        <v>91</v>
      </c>
    </row>
    <row r="50" spans="1:12" ht="11.4" customHeight="1" x14ac:dyDescent="0.3">
      <c r="A50" s="415">
        <v>29</v>
      </c>
      <c r="B50" s="415" t="s">
        <v>268</v>
      </c>
      <c r="C50" s="438" t="s">
        <v>269</v>
      </c>
      <c r="D50" s="441">
        <v>2.2000000000000002</v>
      </c>
      <c r="E50" s="61">
        <v>2.2999999999999998</v>
      </c>
      <c r="F50" s="431"/>
      <c r="G50" s="428">
        <v>2.2000000000000002</v>
      </c>
      <c r="H50" s="445"/>
      <c r="I50" s="429">
        <v>3</v>
      </c>
      <c r="J50" s="61">
        <v>54</v>
      </c>
      <c r="K50" s="414" t="s">
        <v>91</v>
      </c>
    </row>
    <row r="51" spans="1:12" ht="10.8" customHeight="1" x14ac:dyDescent="0.3">
      <c r="A51" s="415">
        <v>30</v>
      </c>
      <c r="B51" s="219" t="s">
        <v>272</v>
      </c>
      <c r="C51" s="439" t="s">
        <v>273</v>
      </c>
      <c r="D51" s="443" t="s">
        <v>93</v>
      </c>
      <c r="E51" s="61" t="s">
        <v>93</v>
      </c>
      <c r="F51" s="431"/>
      <c r="G51" s="428" t="s">
        <v>95</v>
      </c>
      <c r="H51" s="445"/>
      <c r="I51" s="429">
        <v>0</v>
      </c>
      <c r="J51" s="61">
        <v>3</v>
      </c>
      <c r="K51" s="436">
        <v>45911</v>
      </c>
    </row>
    <row r="52" spans="1:12" ht="11.25" customHeight="1" x14ac:dyDescent="0.3">
      <c r="A52" s="415">
        <v>31</v>
      </c>
      <c r="B52" s="415" t="s">
        <v>274</v>
      </c>
      <c r="C52" s="438" t="s">
        <v>275</v>
      </c>
      <c r="D52" s="441">
        <v>1.9</v>
      </c>
      <c r="E52" s="61">
        <v>1.9</v>
      </c>
      <c r="F52" s="431"/>
      <c r="G52" s="428">
        <f t="shared" si="0"/>
        <v>1.9</v>
      </c>
      <c r="H52" s="445"/>
      <c r="I52" s="429">
        <v>3</v>
      </c>
      <c r="J52" s="61">
        <v>54</v>
      </c>
      <c r="K52" s="414" t="s">
        <v>91</v>
      </c>
    </row>
    <row r="53" spans="1:12" ht="11.4" customHeight="1" x14ac:dyDescent="0.3">
      <c r="A53" s="415">
        <v>32</v>
      </c>
      <c r="B53" s="415" t="s">
        <v>276</v>
      </c>
      <c r="C53" s="438" t="s">
        <v>277</v>
      </c>
      <c r="D53" s="441">
        <v>2.5</v>
      </c>
      <c r="E53" s="61">
        <v>2.2000000000000002</v>
      </c>
      <c r="F53" s="431"/>
      <c r="G53" s="428">
        <v>2.2999999999999998</v>
      </c>
      <c r="H53" s="445"/>
      <c r="I53" s="429">
        <v>3</v>
      </c>
      <c r="J53" s="61">
        <v>54</v>
      </c>
      <c r="K53" s="414" t="s">
        <v>91</v>
      </c>
    </row>
    <row r="54" spans="1:12" ht="12" customHeight="1" x14ac:dyDescent="0.3">
      <c r="A54" s="415">
        <v>33</v>
      </c>
      <c r="B54" s="219" t="s">
        <v>278</v>
      </c>
      <c r="C54" s="439" t="s">
        <v>279</v>
      </c>
      <c r="D54" s="443" t="s">
        <v>93</v>
      </c>
      <c r="E54" s="61" t="s">
        <v>93</v>
      </c>
      <c r="F54" s="431"/>
      <c r="G54" s="428" t="s">
        <v>95</v>
      </c>
      <c r="H54" s="445"/>
      <c r="I54" s="429">
        <v>0</v>
      </c>
      <c r="J54" s="61">
        <v>3</v>
      </c>
      <c r="K54" s="436">
        <v>45550</v>
      </c>
    </row>
    <row r="55" spans="1:12" ht="12" customHeight="1" x14ac:dyDescent="0.3">
      <c r="A55" s="415">
        <v>34</v>
      </c>
      <c r="B55" s="219" t="s">
        <v>280</v>
      </c>
      <c r="C55" s="439" t="s">
        <v>281</v>
      </c>
      <c r="D55" s="443" t="s">
        <v>93</v>
      </c>
      <c r="E55" s="61" t="s">
        <v>93</v>
      </c>
      <c r="F55" s="431"/>
      <c r="G55" s="428" t="s">
        <v>95</v>
      </c>
      <c r="H55" s="445"/>
      <c r="I55" s="429">
        <v>0</v>
      </c>
      <c r="J55" s="61">
        <v>3</v>
      </c>
      <c r="K55" s="436">
        <v>45550</v>
      </c>
    </row>
    <row r="56" spans="1:12" ht="11.25" customHeight="1" x14ac:dyDescent="0.3">
      <c r="A56" s="415">
        <v>35</v>
      </c>
      <c r="B56" s="415" t="s">
        <v>282</v>
      </c>
      <c r="C56" s="438" t="s">
        <v>283</v>
      </c>
      <c r="D56" s="441">
        <v>2.5</v>
      </c>
      <c r="E56" s="61">
        <v>2.7</v>
      </c>
      <c r="F56" s="431"/>
      <c r="G56" s="428">
        <f t="shared" si="0"/>
        <v>2.6</v>
      </c>
      <c r="H56" s="445"/>
      <c r="I56" s="429">
        <v>3</v>
      </c>
      <c r="J56" s="61">
        <v>54</v>
      </c>
      <c r="K56" s="434" t="s">
        <v>91</v>
      </c>
    </row>
    <row r="57" spans="1:12" ht="12" customHeight="1" x14ac:dyDescent="0.3">
      <c r="A57" s="415">
        <v>36</v>
      </c>
      <c r="B57" s="219" t="s">
        <v>284</v>
      </c>
      <c r="C57" s="439" t="s">
        <v>285</v>
      </c>
      <c r="D57" s="443" t="s">
        <v>93</v>
      </c>
      <c r="E57" s="61" t="s">
        <v>93</v>
      </c>
      <c r="F57" s="431"/>
      <c r="G57" s="428" t="s">
        <v>95</v>
      </c>
      <c r="H57" s="445"/>
      <c r="I57" s="429">
        <v>0</v>
      </c>
      <c r="J57" s="61">
        <v>3</v>
      </c>
      <c r="K57" s="436">
        <v>45550</v>
      </c>
    </row>
    <row r="58" spans="1:12" ht="11.4" customHeight="1" x14ac:dyDescent="0.3">
      <c r="A58" s="415">
        <v>37</v>
      </c>
      <c r="B58" s="415" t="s">
        <v>286</v>
      </c>
      <c r="C58" s="438" t="s">
        <v>287</v>
      </c>
      <c r="D58" s="441">
        <v>2.2999999999999998</v>
      </c>
      <c r="E58" s="61">
        <v>2.5</v>
      </c>
      <c r="F58" s="431"/>
      <c r="G58" s="428">
        <f t="shared" si="0"/>
        <v>2.4</v>
      </c>
      <c r="H58" s="445"/>
      <c r="I58" s="429">
        <v>3</v>
      </c>
      <c r="J58" s="61">
        <v>54</v>
      </c>
      <c r="K58" s="434" t="s">
        <v>91</v>
      </c>
    </row>
    <row r="59" spans="1:12" ht="11.4" customHeight="1" x14ac:dyDescent="0.3">
      <c r="A59" s="415">
        <v>38</v>
      </c>
      <c r="B59" s="415" t="s">
        <v>288</v>
      </c>
      <c r="C59" s="438" t="s">
        <v>289</v>
      </c>
      <c r="D59" s="441">
        <v>2.2999999999999998</v>
      </c>
      <c r="E59" s="61">
        <v>2.5</v>
      </c>
      <c r="F59" s="431"/>
      <c r="G59" s="428">
        <f t="shared" si="0"/>
        <v>2.4</v>
      </c>
      <c r="H59" s="445"/>
      <c r="I59" s="429">
        <v>3</v>
      </c>
      <c r="J59" s="61">
        <v>54</v>
      </c>
      <c r="K59" s="434" t="s">
        <v>91</v>
      </c>
      <c r="L59" t="s">
        <v>96</v>
      </c>
    </row>
    <row r="60" spans="1:12" ht="10.8" customHeight="1" x14ac:dyDescent="0.3">
      <c r="A60" s="415">
        <v>39</v>
      </c>
      <c r="B60" s="415" t="s">
        <v>290</v>
      </c>
      <c r="C60" s="438" t="s">
        <v>291</v>
      </c>
      <c r="D60" s="441">
        <v>1.9</v>
      </c>
      <c r="E60" s="444">
        <v>2</v>
      </c>
      <c r="F60" s="431"/>
      <c r="G60" s="428">
        <v>1.9</v>
      </c>
      <c r="H60" s="445"/>
      <c r="I60" s="429">
        <v>3</v>
      </c>
      <c r="J60" s="61">
        <v>54</v>
      </c>
      <c r="K60" s="434" t="s">
        <v>91</v>
      </c>
    </row>
    <row r="61" spans="1:12" ht="12" customHeight="1" x14ac:dyDescent="0.3">
      <c r="A61" s="415">
        <v>40</v>
      </c>
      <c r="B61" s="415" t="s">
        <v>292</v>
      </c>
      <c r="C61" s="438" t="s">
        <v>293</v>
      </c>
      <c r="D61" s="441">
        <v>1.9</v>
      </c>
      <c r="E61" s="444">
        <v>2</v>
      </c>
      <c r="F61" s="431"/>
      <c r="G61" s="428">
        <v>1.9</v>
      </c>
      <c r="H61" s="445"/>
      <c r="I61" s="429">
        <v>3</v>
      </c>
      <c r="J61" s="61">
        <v>54</v>
      </c>
      <c r="K61" s="434" t="s">
        <v>91</v>
      </c>
    </row>
    <row r="62" spans="1:12" ht="11.25" customHeight="1" x14ac:dyDescent="0.3">
      <c r="A62" s="415">
        <v>41</v>
      </c>
      <c r="B62" s="415" t="s">
        <v>294</v>
      </c>
      <c r="C62" s="438" t="s">
        <v>295</v>
      </c>
      <c r="D62" s="441">
        <v>2.6</v>
      </c>
      <c r="E62" s="61">
        <v>2.2999999999999998</v>
      </c>
      <c r="F62" s="431"/>
      <c r="G62" s="428">
        <v>2.4</v>
      </c>
      <c r="H62" s="445"/>
      <c r="I62" s="429">
        <v>3</v>
      </c>
      <c r="J62" s="61">
        <v>51</v>
      </c>
      <c r="K62" s="434" t="s">
        <v>91</v>
      </c>
    </row>
    <row r="63" spans="1:12" ht="11.4" customHeight="1" x14ac:dyDescent="0.3">
      <c r="A63" s="415">
        <v>42</v>
      </c>
      <c r="B63" s="415" t="s">
        <v>296</v>
      </c>
      <c r="C63" s="438" t="s">
        <v>297</v>
      </c>
      <c r="D63" s="441">
        <v>2.2999999999999998</v>
      </c>
      <c r="E63" s="61">
        <v>2.5</v>
      </c>
      <c r="F63" s="431"/>
      <c r="G63" s="428">
        <f t="shared" si="0"/>
        <v>2.4</v>
      </c>
      <c r="H63" s="445"/>
      <c r="I63" s="429">
        <v>3</v>
      </c>
      <c r="J63" s="61">
        <v>54</v>
      </c>
      <c r="K63" s="434" t="s">
        <v>91</v>
      </c>
    </row>
    <row r="64" spans="1:12" ht="12" customHeight="1" x14ac:dyDescent="0.3">
      <c r="A64" s="415">
        <v>43</v>
      </c>
      <c r="B64" s="415" t="s">
        <v>298</v>
      </c>
      <c r="C64" s="438" t="s">
        <v>299</v>
      </c>
      <c r="D64" s="441">
        <v>2.6</v>
      </c>
      <c r="E64" s="61">
        <v>2.7</v>
      </c>
      <c r="F64" s="431"/>
      <c r="G64" s="428">
        <v>2.6</v>
      </c>
      <c r="H64" s="445"/>
      <c r="I64" s="429">
        <v>3</v>
      </c>
      <c r="J64" s="61">
        <v>54</v>
      </c>
      <c r="K64" s="434" t="s">
        <v>91</v>
      </c>
    </row>
    <row r="65" spans="1:11" ht="10.8" customHeight="1" x14ac:dyDescent="0.3">
      <c r="A65" s="415">
        <v>44</v>
      </c>
      <c r="B65" s="415" t="s">
        <v>300</v>
      </c>
      <c r="C65" s="438" t="s">
        <v>301</v>
      </c>
      <c r="D65" s="441">
        <v>2.7</v>
      </c>
      <c r="E65" s="61">
        <v>2.7</v>
      </c>
      <c r="F65" s="431"/>
      <c r="G65" s="428">
        <f t="shared" si="0"/>
        <v>2.7</v>
      </c>
      <c r="H65" s="445"/>
      <c r="I65" s="429">
        <v>3</v>
      </c>
      <c r="J65" s="61">
        <v>49.5</v>
      </c>
      <c r="K65" s="414" t="s">
        <v>91</v>
      </c>
    </row>
    <row r="66" spans="1:11" ht="12" customHeight="1" x14ac:dyDescent="0.3">
      <c r="A66" s="415"/>
      <c r="B66" s="415"/>
      <c r="C66" s="440" t="s">
        <v>49</v>
      </c>
      <c r="D66" s="441"/>
      <c r="E66" s="61"/>
      <c r="F66" s="431"/>
      <c r="G66" s="428"/>
      <c r="H66" s="445"/>
      <c r="I66" s="429"/>
      <c r="J66" s="61"/>
      <c r="K66" s="414"/>
    </row>
    <row r="67" spans="1:11" ht="10.8" customHeight="1" x14ac:dyDescent="0.3">
      <c r="A67" s="415">
        <v>45</v>
      </c>
      <c r="B67" s="415" t="s">
        <v>224</v>
      </c>
      <c r="C67" s="438" t="s">
        <v>225</v>
      </c>
      <c r="D67" s="441">
        <v>2.7</v>
      </c>
      <c r="E67" s="61">
        <v>2.4</v>
      </c>
      <c r="F67" s="431"/>
      <c r="G67" s="428">
        <v>2.5</v>
      </c>
      <c r="H67" s="445"/>
      <c r="I67" s="429">
        <v>3</v>
      </c>
      <c r="J67" s="61">
        <v>45</v>
      </c>
      <c r="K67" s="414" t="s">
        <v>91</v>
      </c>
    </row>
    <row r="68" spans="1:11" ht="11.4" customHeight="1" x14ac:dyDescent="0.3">
      <c r="A68" s="415">
        <v>46</v>
      </c>
      <c r="B68" s="219" t="s">
        <v>270</v>
      </c>
      <c r="C68" s="439" t="s">
        <v>271</v>
      </c>
      <c r="D68" s="443" t="s">
        <v>93</v>
      </c>
      <c r="E68" s="61" t="s">
        <v>93</v>
      </c>
      <c r="F68" s="431"/>
      <c r="G68" s="428" t="s">
        <v>95</v>
      </c>
      <c r="H68" s="445"/>
      <c r="I68" s="429">
        <v>0</v>
      </c>
      <c r="J68" s="61">
        <v>3</v>
      </c>
      <c r="K68" s="436">
        <v>45911</v>
      </c>
    </row>
    <row r="69" spans="1:11" ht="11.4" customHeight="1" x14ac:dyDescent="0.3">
      <c r="A69" s="516">
        <v>47</v>
      </c>
      <c r="B69" s="415" t="s">
        <v>304</v>
      </c>
      <c r="C69" s="438" t="s">
        <v>305</v>
      </c>
      <c r="D69" s="441">
        <v>2.6</v>
      </c>
      <c r="E69" s="61">
        <v>2.9</v>
      </c>
      <c r="F69" s="431"/>
      <c r="G69" s="428">
        <v>2.7</v>
      </c>
      <c r="H69" s="445"/>
      <c r="I69" s="429">
        <v>3</v>
      </c>
      <c r="J69" s="61">
        <v>54</v>
      </c>
      <c r="K69" s="414" t="s">
        <v>91</v>
      </c>
    </row>
    <row r="70" spans="1:11" ht="10.5" customHeight="1" x14ac:dyDescent="0.3">
      <c r="A70" s="167"/>
      <c r="B70" s="185"/>
      <c r="C70" s="33" t="s">
        <v>55</v>
      </c>
      <c r="D70" s="43"/>
      <c r="E70" s="43"/>
      <c r="F70" s="44"/>
      <c r="G70" s="43"/>
      <c r="H70" s="36"/>
      <c r="I70" s="45"/>
      <c r="J70" s="41"/>
      <c r="K70" s="12"/>
    </row>
    <row r="71" spans="1:11" ht="9" customHeight="1" x14ac:dyDescent="0.3">
      <c r="B71" s="25"/>
      <c r="C71" s="26"/>
      <c r="D71" s="27"/>
      <c r="E71" s="27"/>
      <c r="F71" s="27"/>
      <c r="G71" s="28"/>
      <c r="H71" s="29"/>
      <c r="I71" s="30"/>
      <c r="J71" s="31"/>
      <c r="K71" s="32"/>
    </row>
    <row r="72" spans="1:11" ht="13.5" customHeight="1" x14ac:dyDescent="0.3">
      <c r="A72" s="166"/>
      <c r="B72" s="3"/>
      <c r="C72" s="3"/>
      <c r="D72" s="3"/>
      <c r="E72" s="3"/>
      <c r="F72" s="3"/>
      <c r="G72" s="3"/>
      <c r="H72" s="3"/>
      <c r="I72" s="3"/>
      <c r="J72" s="32"/>
      <c r="K72" s="3"/>
    </row>
    <row r="73" spans="1:11" ht="18" customHeight="1" x14ac:dyDescent="0.3">
      <c r="B73" s="3"/>
      <c r="C73" s="3"/>
      <c r="D73" s="3"/>
      <c r="E73" s="3"/>
      <c r="F73" s="3"/>
      <c r="G73" s="3"/>
      <c r="H73" s="3"/>
      <c r="I73" s="3"/>
      <c r="J73" s="32"/>
      <c r="K73" s="3"/>
    </row>
    <row r="74" spans="1:11" ht="24" customHeight="1" x14ac:dyDescent="0.3">
      <c r="B74" s="3"/>
      <c r="C74" s="3"/>
      <c r="D74" s="3"/>
      <c r="E74" s="3"/>
      <c r="F74" s="3"/>
      <c r="G74" s="3"/>
      <c r="H74" s="3"/>
      <c r="I74" s="3"/>
      <c r="J74" s="32"/>
      <c r="K74" s="3"/>
    </row>
    <row r="75" spans="1:11" ht="54.75" customHeight="1" x14ac:dyDescent="0.3"/>
    <row r="76" spans="1:11" ht="15.7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2"/>
      <c r="K76" s="3"/>
    </row>
    <row r="77" spans="1:11" ht="12" customHeight="1" x14ac:dyDescent="0.3">
      <c r="B77" s="3"/>
      <c r="C77" s="3"/>
      <c r="D77" s="3"/>
      <c r="E77" s="3"/>
      <c r="F77" s="3"/>
      <c r="G77" s="3"/>
      <c r="H77" s="3"/>
      <c r="I77" s="3"/>
      <c r="J77" s="32"/>
      <c r="K77" s="3"/>
    </row>
    <row r="78" spans="1:11" ht="11.25" customHeight="1" x14ac:dyDescent="0.3">
      <c r="A78" s="170"/>
      <c r="B78" s="161"/>
      <c r="C78" s="161"/>
      <c r="D78" s="161"/>
      <c r="E78" s="161"/>
      <c r="F78" s="161"/>
      <c r="G78" s="161"/>
      <c r="H78" s="161"/>
      <c r="I78" s="161"/>
      <c r="J78" s="161"/>
      <c r="K78" s="161"/>
    </row>
    <row r="79" spans="1:11" ht="17.25" customHeight="1" x14ac:dyDescent="0.3">
      <c r="A79" s="170" t="s">
        <v>489</v>
      </c>
      <c r="B79" s="3"/>
      <c r="C79" s="3"/>
      <c r="D79" s="3"/>
      <c r="E79" s="3"/>
      <c r="F79" s="3"/>
      <c r="G79" s="3"/>
      <c r="H79" s="3"/>
      <c r="I79" s="3"/>
      <c r="J79" s="32"/>
      <c r="K79" s="3"/>
    </row>
    <row r="80" spans="1:11" ht="7.5" customHeight="1" x14ac:dyDescent="0.3">
      <c r="A80" s="13"/>
    </row>
    <row r="81" spans="1:15" x14ac:dyDescent="0.3">
      <c r="L81" s="169"/>
      <c r="M81" s="169"/>
      <c r="N81" s="169"/>
      <c r="O81" s="169"/>
    </row>
    <row r="82" spans="1:15" x14ac:dyDescent="0.3">
      <c r="A82" s="13"/>
      <c r="B82" s="1"/>
    </row>
    <row r="84" spans="1:15" x14ac:dyDescent="0.3">
      <c r="A84" s="13"/>
      <c r="B84" s="1"/>
    </row>
    <row r="85" spans="1:15" x14ac:dyDescent="0.3">
      <c r="A85" s="13"/>
      <c r="B85" s="3"/>
      <c r="C85" s="3"/>
      <c r="D85" s="3"/>
      <c r="E85" s="3"/>
      <c r="F85" s="3"/>
      <c r="G85" s="3"/>
      <c r="H85" s="3"/>
      <c r="I85" s="3"/>
      <c r="J85" s="32"/>
      <c r="K85" s="3"/>
    </row>
    <row r="86" spans="1:15" x14ac:dyDescent="0.3">
      <c r="A86" s="13"/>
      <c r="B86" s="13"/>
      <c r="C86" s="13"/>
      <c r="D86" s="13"/>
      <c r="E86" s="13"/>
      <c r="F86" s="13"/>
      <c r="G86" s="13"/>
      <c r="H86" s="13"/>
      <c r="I86" s="13"/>
      <c r="J86" s="15"/>
      <c r="K86" s="13"/>
    </row>
    <row r="87" spans="1:15" x14ac:dyDescent="0.3">
      <c r="A87" s="13"/>
      <c r="B87" s="14"/>
      <c r="C87" s="14"/>
      <c r="D87" s="14"/>
      <c r="E87" s="14"/>
      <c r="F87" s="14"/>
      <c r="G87" s="14"/>
      <c r="H87" s="14"/>
      <c r="I87" s="14"/>
      <c r="J87" s="14"/>
      <c r="K87" s="14"/>
    </row>
    <row r="88" spans="1:15" x14ac:dyDescent="0.3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</row>
    <row r="89" spans="1:15" x14ac:dyDescent="0.3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</row>
    <row r="90" spans="1:15" x14ac:dyDescent="0.3">
      <c r="A90" s="3"/>
      <c r="B90" s="13"/>
      <c r="C90" s="13"/>
      <c r="D90" s="13"/>
      <c r="E90" s="13"/>
      <c r="F90" s="13"/>
      <c r="G90" s="13"/>
      <c r="H90" s="13"/>
      <c r="I90" s="13"/>
      <c r="J90" s="15"/>
      <c r="K90" s="13"/>
    </row>
    <row r="91" spans="1:15" x14ac:dyDescent="0.3">
      <c r="A91" s="3"/>
      <c r="B91" s="13"/>
      <c r="C91" s="13"/>
      <c r="D91" s="13"/>
      <c r="E91" s="13"/>
      <c r="F91" s="13"/>
      <c r="H91" s="14"/>
      <c r="I91" s="13"/>
      <c r="J91" s="15"/>
      <c r="K91" s="15"/>
    </row>
    <row r="92" spans="1:15" x14ac:dyDescent="0.3">
      <c r="A92" s="3"/>
      <c r="B92" s="13"/>
      <c r="C92" s="13"/>
      <c r="D92" s="13"/>
      <c r="E92" s="13"/>
      <c r="F92" s="13"/>
      <c r="H92" s="13"/>
      <c r="I92" s="13"/>
      <c r="J92" s="15"/>
      <c r="K92" s="13"/>
    </row>
    <row r="93" spans="1:15" x14ac:dyDescent="0.3">
      <c r="A93" s="3"/>
      <c r="B93" s="13"/>
      <c r="C93" s="13"/>
      <c r="D93" s="13"/>
      <c r="E93" s="13"/>
      <c r="F93" s="13"/>
      <c r="H93" s="3"/>
      <c r="I93" s="3"/>
      <c r="J93" s="32"/>
      <c r="K93" s="3"/>
    </row>
    <row r="94" spans="1:15" x14ac:dyDescent="0.3">
      <c r="A94" s="3"/>
      <c r="B94" s="13"/>
      <c r="C94" s="13"/>
      <c r="D94" s="13"/>
      <c r="E94" s="13"/>
      <c r="F94" s="13"/>
      <c r="H94" s="3"/>
      <c r="I94" s="3"/>
      <c r="J94" s="32"/>
      <c r="K94" s="3"/>
    </row>
    <row r="95" spans="1:15" x14ac:dyDescent="0.3">
      <c r="A95" s="3"/>
      <c r="B95" s="13"/>
      <c r="C95" s="13"/>
      <c r="D95" s="13"/>
      <c r="E95" s="13"/>
      <c r="F95" s="13"/>
      <c r="H95" s="3"/>
      <c r="I95" s="3"/>
      <c r="J95" s="32"/>
      <c r="K95" s="3"/>
    </row>
    <row r="96" spans="1:15" x14ac:dyDescent="0.3">
      <c r="A96" s="3"/>
      <c r="B96" s="13"/>
      <c r="C96" s="13"/>
      <c r="D96" s="13"/>
      <c r="E96" s="13"/>
      <c r="F96" s="13"/>
      <c r="H96" s="3"/>
      <c r="I96" s="3"/>
      <c r="J96" s="32"/>
      <c r="K96" s="3"/>
    </row>
    <row r="97" spans="1:11" x14ac:dyDescent="0.3">
      <c r="A97" s="3"/>
      <c r="B97" s="13"/>
      <c r="C97" s="13"/>
      <c r="D97" s="13"/>
      <c r="E97" s="13"/>
      <c r="F97" s="13"/>
      <c r="H97" s="3"/>
      <c r="I97" s="3"/>
      <c r="J97" s="32"/>
      <c r="K97" s="3"/>
    </row>
    <row r="98" spans="1:11" x14ac:dyDescent="0.3">
      <c r="A98" s="170"/>
      <c r="B98" s="168"/>
      <c r="C98" s="169"/>
      <c r="D98" s="169"/>
      <c r="E98" s="169"/>
      <c r="F98" s="169"/>
      <c r="G98" s="169"/>
      <c r="H98" s="169"/>
      <c r="I98" s="169"/>
      <c r="J98" s="110"/>
      <c r="K98" s="169"/>
    </row>
    <row r="99" spans="1:11" x14ac:dyDescent="0.3">
      <c r="A99" s="3"/>
      <c r="B99" s="3"/>
      <c r="C99" s="3"/>
      <c r="D99" s="3"/>
      <c r="E99" s="3"/>
      <c r="F99" s="3"/>
      <c r="G99" s="3"/>
      <c r="H99" s="3"/>
      <c r="I99" s="3"/>
      <c r="J99" s="32"/>
      <c r="K99" s="3"/>
    </row>
    <row r="100" spans="1:1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2"/>
      <c r="K100" s="3"/>
    </row>
    <row r="101" spans="1:1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2"/>
      <c r="K101" s="3"/>
    </row>
    <row r="102" spans="1:11" x14ac:dyDescent="0.3">
      <c r="A102" s="159"/>
      <c r="B102" s="3"/>
      <c r="C102" s="3"/>
      <c r="D102" s="3"/>
      <c r="E102" s="3"/>
      <c r="F102" s="3"/>
      <c r="G102" s="3"/>
      <c r="H102" s="3"/>
      <c r="I102" s="3"/>
      <c r="J102" s="32"/>
      <c r="K102" s="3"/>
    </row>
    <row r="103" spans="1:11" x14ac:dyDescent="0.3">
      <c r="B103" s="3"/>
      <c r="C103" s="3"/>
      <c r="D103" s="3"/>
      <c r="E103" s="3"/>
      <c r="F103" s="3"/>
      <c r="G103" s="3"/>
      <c r="H103" s="3"/>
      <c r="I103" s="3"/>
      <c r="J103" s="32"/>
      <c r="K103" s="3"/>
    </row>
    <row r="104" spans="1:11" x14ac:dyDescent="0.3">
      <c r="B104" s="3"/>
      <c r="C104" s="3"/>
      <c r="D104" s="3"/>
      <c r="E104" s="3"/>
      <c r="F104" s="3"/>
      <c r="G104" s="3"/>
      <c r="H104" s="3"/>
      <c r="I104" s="3"/>
      <c r="J104" s="32"/>
      <c r="K104" s="3"/>
    </row>
    <row r="105" spans="1:11" x14ac:dyDescent="0.3">
      <c r="B105" s="3"/>
      <c r="C105" s="3"/>
      <c r="D105" s="3"/>
      <c r="E105" s="3"/>
      <c r="F105" s="3"/>
      <c r="G105" s="3"/>
      <c r="H105" s="159"/>
      <c r="I105" s="159"/>
      <c r="J105" s="159"/>
      <c r="K105" s="159"/>
    </row>
    <row r="106" spans="1:11" x14ac:dyDescent="0.3">
      <c r="B106" s="3"/>
      <c r="C106" s="3"/>
      <c r="D106" s="3"/>
      <c r="E106" s="3"/>
      <c r="F106" s="3"/>
      <c r="G106" s="3"/>
    </row>
    <row r="107" spans="1:11" x14ac:dyDescent="0.3">
      <c r="B107" s="3"/>
      <c r="C107" s="3"/>
      <c r="D107" s="3"/>
      <c r="E107" s="3"/>
      <c r="F107" s="3"/>
      <c r="G107" s="3"/>
    </row>
    <row r="108" spans="1:11" x14ac:dyDescent="0.3">
      <c r="B108" s="3"/>
      <c r="C108" s="3"/>
      <c r="D108" s="3"/>
      <c r="E108" s="3"/>
      <c r="F108" s="3"/>
      <c r="G108" s="3"/>
    </row>
    <row r="109" spans="1:11" x14ac:dyDescent="0.3">
      <c r="B109" s="3"/>
      <c r="C109" s="3"/>
      <c r="D109" s="3"/>
      <c r="E109" s="3"/>
      <c r="F109" s="3"/>
      <c r="G109" s="3"/>
    </row>
    <row r="110" spans="1:11" x14ac:dyDescent="0.3">
      <c r="B110" s="3"/>
      <c r="C110" s="3"/>
      <c r="D110" s="3"/>
      <c r="E110" s="3"/>
      <c r="F110" s="3"/>
      <c r="G110" s="3"/>
    </row>
    <row r="111" spans="1:11" x14ac:dyDescent="0.3">
      <c r="B111" s="159"/>
      <c r="C111" s="159"/>
      <c r="D111" s="159"/>
      <c r="E111" s="159"/>
      <c r="F111" s="159"/>
      <c r="G111" s="159"/>
    </row>
  </sheetData>
  <autoFilter ref="A19:K66" xr:uid="{00000000-0009-0000-0000-000007000000}">
    <filterColumn colId="3" showButton="0"/>
    <filterColumn colId="4" showButton="0"/>
    <filterColumn colId="5" showButton="0"/>
  </autoFilter>
  <mergeCells count="11">
    <mergeCell ref="A7:K7"/>
    <mergeCell ref="A8:K8"/>
    <mergeCell ref="A9:K9"/>
    <mergeCell ref="A19:A20"/>
    <mergeCell ref="B19:B20"/>
    <mergeCell ref="C19:C20"/>
    <mergeCell ref="D19:G19"/>
    <mergeCell ref="H19:H20"/>
    <mergeCell ref="I19:I20"/>
    <mergeCell ref="J19:J20"/>
    <mergeCell ref="K19:K20"/>
  </mergeCells>
  <pageMargins left="0.5" right="0.31" top="0.26" bottom="0.19" header="0.18" footer="0.2"/>
  <pageSetup paperSize="14" scale="91" fitToHeight="0" orientation="portrait" horizontalDpi="4294967292" verticalDpi="4294967292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 tint="0.39997558519241921"/>
  </sheetPr>
  <dimension ref="A1:P80"/>
  <sheetViews>
    <sheetView topLeftCell="A2" zoomScale="112" zoomScaleNormal="112" zoomScaleSheetLayoutView="145" zoomScalePageLayoutView="106" workbookViewId="0">
      <selection activeCell="M13" sqref="M13"/>
    </sheetView>
  </sheetViews>
  <sheetFormatPr defaultColWidth="8.88671875" defaultRowHeight="14.4" x14ac:dyDescent="0.3"/>
  <cols>
    <col min="1" max="1" width="4.33203125" customWidth="1"/>
    <col min="2" max="2" width="14" customWidth="1"/>
    <col min="3" max="3" width="30" customWidth="1"/>
    <col min="4" max="4" width="6.6640625" customWidth="1"/>
    <col min="5" max="5" width="7.21875" customWidth="1"/>
    <col min="6" max="6" width="0.109375" hidden="1" customWidth="1"/>
    <col min="7" max="7" width="6.21875" customWidth="1"/>
    <col min="8" max="8" width="6.6640625" customWidth="1"/>
    <col min="9" max="9" width="7.21875" customWidth="1"/>
    <col min="10" max="10" width="9.44140625" style="9" customWidth="1"/>
    <col min="11" max="11" width="14.88671875" customWidth="1"/>
  </cols>
  <sheetData>
    <row r="1" spans="1:11" ht="14.25" customHeight="1" x14ac:dyDescent="0.3">
      <c r="B1" s="1" t="s">
        <v>39</v>
      </c>
    </row>
    <row r="2" spans="1:11" ht="13.5" customHeight="1" x14ac:dyDescent="0.3">
      <c r="B2" s="2" t="s">
        <v>48</v>
      </c>
    </row>
    <row r="3" spans="1:11" ht="14.25" customHeight="1" x14ac:dyDescent="0.3">
      <c r="B3" s="1" t="s">
        <v>38</v>
      </c>
    </row>
    <row r="4" spans="1:11" ht="6.75" customHeight="1" x14ac:dyDescent="0.3">
      <c r="A4" s="3"/>
      <c r="B4" s="3"/>
      <c r="C4" s="3"/>
      <c r="D4" s="3"/>
      <c r="E4" s="3"/>
      <c r="F4" s="3"/>
      <c r="G4" s="3"/>
      <c r="H4" s="3"/>
      <c r="I4" s="3"/>
      <c r="J4" s="32"/>
      <c r="K4" s="3"/>
    </row>
    <row r="5" spans="1:11" ht="18" customHeight="1" x14ac:dyDescent="0.3">
      <c r="A5" s="55" t="s">
        <v>483</v>
      </c>
      <c r="B5" s="52"/>
      <c r="C5" s="52"/>
      <c r="D5" s="52"/>
      <c r="E5" s="52"/>
      <c r="F5" s="52"/>
      <c r="G5" s="52"/>
      <c r="H5" s="52"/>
      <c r="I5" s="52"/>
      <c r="J5" s="56"/>
      <c r="K5" s="52"/>
    </row>
    <row r="6" spans="1:11" ht="3" customHeight="1" x14ac:dyDescent="0.3">
      <c r="A6" s="55"/>
      <c r="B6" s="52"/>
      <c r="C6" s="52"/>
      <c r="D6" s="52"/>
      <c r="E6" s="52"/>
      <c r="F6" s="52"/>
      <c r="G6" s="52"/>
      <c r="H6" s="52"/>
      <c r="I6" s="52"/>
      <c r="J6" s="56"/>
      <c r="K6" s="52"/>
    </row>
    <row r="7" spans="1:11" ht="17.399999999999999" customHeight="1" x14ac:dyDescent="0.3">
      <c r="A7" s="532" t="s">
        <v>0</v>
      </c>
      <c r="B7" s="532"/>
      <c r="C7" s="532"/>
      <c r="D7" s="532"/>
      <c r="E7" s="532"/>
      <c r="F7" s="532"/>
      <c r="G7" s="532"/>
      <c r="H7" s="532"/>
      <c r="I7" s="532"/>
      <c r="J7" s="532"/>
      <c r="K7" s="532"/>
    </row>
    <row r="8" spans="1:11" ht="15.6" x14ac:dyDescent="0.3">
      <c r="A8" s="533" t="s">
        <v>313</v>
      </c>
      <c r="B8" s="533"/>
      <c r="C8" s="533"/>
      <c r="D8" s="533"/>
      <c r="E8" s="533"/>
      <c r="F8" s="533"/>
      <c r="G8" s="533"/>
      <c r="H8" s="533"/>
      <c r="I8" s="533"/>
      <c r="J8" s="533"/>
      <c r="K8" s="533"/>
    </row>
    <row r="9" spans="1:11" ht="15.6" x14ac:dyDescent="0.3">
      <c r="A9" s="533" t="s">
        <v>314</v>
      </c>
      <c r="B9" s="533"/>
      <c r="C9" s="533"/>
      <c r="D9" s="533"/>
      <c r="E9" s="533"/>
      <c r="F9" s="533"/>
      <c r="G9" s="533"/>
      <c r="H9" s="533"/>
      <c r="I9" s="533"/>
      <c r="J9" s="533"/>
      <c r="K9" s="533"/>
    </row>
    <row r="10" spans="1:11" ht="2.1" customHeight="1" x14ac:dyDescent="0.3">
      <c r="A10" s="13"/>
      <c r="B10" s="13"/>
      <c r="C10" s="13"/>
      <c r="D10" s="13"/>
      <c r="E10" s="13"/>
      <c r="F10" s="13"/>
      <c r="G10" s="13"/>
      <c r="H10" s="13"/>
      <c r="I10" s="13"/>
      <c r="J10" s="15"/>
      <c r="K10" s="13"/>
    </row>
    <row r="11" spans="1:11" ht="16.5" customHeight="1" x14ac:dyDescent="0.3">
      <c r="A11" s="13" t="s">
        <v>43</v>
      </c>
      <c r="B11" s="52"/>
      <c r="C11" s="53" t="s">
        <v>484</v>
      </c>
      <c r="D11" s="38"/>
      <c r="E11" s="38"/>
      <c r="F11" s="13"/>
      <c r="H11" s="57" t="s">
        <v>1</v>
      </c>
      <c r="I11" s="52"/>
      <c r="J11" s="56"/>
      <c r="K11" s="521">
        <v>32</v>
      </c>
    </row>
    <row r="12" spans="1:11" ht="15" customHeight="1" x14ac:dyDescent="0.3">
      <c r="A12" s="13" t="s">
        <v>44</v>
      </c>
      <c r="B12" s="52"/>
      <c r="C12" s="53" t="s">
        <v>485</v>
      </c>
      <c r="D12" s="38"/>
      <c r="E12" s="38"/>
      <c r="F12" s="13"/>
      <c r="H12" s="52" t="s">
        <v>2</v>
      </c>
      <c r="I12" s="52"/>
      <c r="J12" s="56"/>
      <c r="K12" s="56"/>
    </row>
    <row r="13" spans="1:11" ht="15.75" customHeight="1" x14ac:dyDescent="0.3">
      <c r="A13" s="13" t="s">
        <v>45</v>
      </c>
      <c r="B13" s="52"/>
      <c r="C13" s="54" t="s">
        <v>486</v>
      </c>
      <c r="D13" s="39"/>
      <c r="E13" s="39"/>
      <c r="F13" s="13"/>
      <c r="H13" s="52"/>
      <c r="I13" s="52" t="s">
        <v>3</v>
      </c>
      <c r="J13" s="56"/>
      <c r="K13" s="56">
        <v>0</v>
      </c>
    </row>
    <row r="14" spans="1:11" ht="14.25" customHeight="1" x14ac:dyDescent="0.3">
      <c r="A14" s="13" t="s">
        <v>46</v>
      </c>
      <c r="B14" s="52"/>
      <c r="C14" s="54" t="s">
        <v>487</v>
      </c>
      <c r="D14" s="39"/>
      <c r="E14" s="39"/>
      <c r="F14" s="13"/>
      <c r="H14" s="52"/>
      <c r="I14" s="52" t="s">
        <v>4</v>
      </c>
      <c r="J14" s="56"/>
      <c r="K14" s="56">
        <v>0</v>
      </c>
    </row>
    <row r="15" spans="1:11" ht="13.5" customHeight="1" x14ac:dyDescent="0.3">
      <c r="A15" s="13" t="s">
        <v>47</v>
      </c>
      <c r="B15" s="52"/>
      <c r="C15" s="279" t="s">
        <v>488</v>
      </c>
      <c r="D15" s="39"/>
      <c r="E15" s="39"/>
      <c r="F15" s="13"/>
      <c r="H15" s="52"/>
      <c r="I15" s="52" t="s">
        <v>5</v>
      </c>
      <c r="J15" s="56"/>
      <c r="K15" s="56">
        <v>0</v>
      </c>
    </row>
    <row r="16" spans="1:11" ht="15.6" x14ac:dyDescent="0.3">
      <c r="A16" s="13"/>
      <c r="B16" s="13"/>
      <c r="C16" s="13"/>
      <c r="D16" s="13"/>
      <c r="E16" s="13"/>
      <c r="F16" s="13"/>
      <c r="H16" s="52"/>
      <c r="I16" s="52" t="s">
        <v>6</v>
      </c>
      <c r="J16" s="56"/>
      <c r="K16" s="56">
        <v>1</v>
      </c>
    </row>
    <row r="17" spans="1:16" ht="12.9" customHeight="1" x14ac:dyDescent="0.3">
      <c r="A17" s="13"/>
      <c r="B17" s="13"/>
      <c r="C17" s="13"/>
      <c r="D17" s="13"/>
      <c r="E17" s="13"/>
      <c r="F17" s="13"/>
      <c r="H17" s="52"/>
      <c r="I17" s="52" t="s">
        <v>7</v>
      </c>
      <c r="J17" s="56"/>
      <c r="K17" s="424">
        <v>31</v>
      </c>
    </row>
    <row r="18" spans="1:16" ht="10.199999999999999" customHeight="1" x14ac:dyDescent="0.3">
      <c r="A18" s="13"/>
      <c r="B18" s="13"/>
      <c r="C18" s="13"/>
      <c r="D18" s="13"/>
      <c r="E18" s="13"/>
      <c r="F18" s="13"/>
      <c r="G18" s="13"/>
      <c r="H18" s="13"/>
      <c r="I18" s="13"/>
      <c r="J18" s="15"/>
      <c r="K18" s="13"/>
    </row>
    <row r="19" spans="1:16" ht="13.5" customHeight="1" x14ac:dyDescent="0.3">
      <c r="A19" s="534" t="s">
        <v>8</v>
      </c>
      <c r="B19" s="535" t="s">
        <v>9</v>
      </c>
      <c r="C19" s="535" t="s">
        <v>51</v>
      </c>
      <c r="D19" s="534" t="s">
        <v>12</v>
      </c>
      <c r="E19" s="534"/>
      <c r="F19" s="534"/>
      <c r="G19" s="534"/>
      <c r="H19" s="535" t="s">
        <v>14</v>
      </c>
      <c r="I19" s="535" t="s">
        <v>13</v>
      </c>
      <c r="J19" s="535" t="s">
        <v>54</v>
      </c>
      <c r="K19" s="535" t="s">
        <v>16</v>
      </c>
    </row>
    <row r="20" spans="1:16" ht="24" customHeight="1" x14ac:dyDescent="0.3">
      <c r="A20" s="534"/>
      <c r="B20" s="535"/>
      <c r="C20" s="535"/>
      <c r="D20" s="415" t="s">
        <v>10</v>
      </c>
      <c r="E20" s="415" t="s">
        <v>15</v>
      </c>
      <c r="F20" s="415"/>
      <c r="G20" s="415" t="s">
        <v>11</v>
      </c>
      <c r="H20" s="535"/>
      <c r="I20" s="535"/>
      <c r="J20" s="535"/>
      <c r="K20" s="535"/>
    </row>
    <row r="21" spans="1:16" ht="13.5" customHeight="1" x14ac:dyDescent="0.3">
      <c r="A21" s="415"/>
      <c r="B21" s="446"/>
      <c r="C21" s="18" t="s">
        <v>35</v>
      </c>
      <c r="D21" s="447"/>
      <c r="E21" s="448"/>
      <c r="F21" s="448"/>
      <c r="G21" s="448"/>
      <c r="H21" s="448"/>
      <c r="I21" s="448"/>
      <c r="J21" s="448"/>
      <c r="K21" s="449"/>
    </row>
    <row r="22" spans="1:16" x14ac:dyDescent="0.3">
      <c r="A22" s="61">
        <v>1</v>
      </c>
      <c r="B22" s="429" t="s">
        <v>432</v>
      </c>
      <c r="C22" s="451" t="s">
        <v>433</v>
      </c>
      <c r="D22" s="441">
        <v>2.2000000000000002</v>
      </c>
      <c r="E22" s="61">
        <v>1.9</v>
      </c>
      <c r="F22" s="427"/>
      <c r="G22" s="428">
        <v>2</v>
      </c>
      <c r="H22" s="415"/>
      <c r="I22" s="429">
        <v>3</v>
      </c>
      <c r="J22" s="61">
        <v>54</v>
      </c>
      <c r="K22" s="414" t="s">
        <v>91</v>
      </c>
    </row>
    <row r="23" spans="1:16" ht="14.25" customHeight="1" x14ac:dyDescent="0.3">
      <c r="A23" s="452">
        <v>2</v>
      </c>
      <c r="B23" s="414" t="s">
        <v>445</v>
      </c>
      <c r="C23" s="451" t="s">
        <v>434</v>
      </c>
      <c r="D23" s="441">
        <v>1.9</v>
      </c>
      <c r="E23" s="61">
        <v>1.8</v>
      </c>
      <c r="F23" s="427"/>
      <c r="G23" s="428">
        <v>1.8</v>
      </c>
      <c r="H23" s="430"/>
      <c r="I23" s="429">
        <v>3</v>
      </c>
      <c r="J23" s="61">
        <v>52.5</v>
      </c>
      <c r="K23" s="414" t="s">
        <v>91</v>
      </c>
    </row>
    <row r="24" spans="1:16" ht="13.2" customHeight="1" x14ac:dyDescent="0.3">
      <c r="A24" s="452"/>
      <c r="B24" s="414"/>
      <c r="C24" s="453" t="s">
        <v>49</v>
      </c>
      <c r="D24" s="441"/>
      <c r="E24" s="61"/>
      <c r="F24" s="427"/>
      <c r="G24" s="428"/>
      <c r="H24" s="430"/>
      <c r="I24" s="429"/>
      <c r="J24" s="61"/>
      <c r="K24" s="414"/>
    </row>
    <row r="25" spans="1:16" x14ac:dyDescent="0.3">
      <c r="A25" s="452">
        <v>3</v>
      </c>
      <c r="B25" s="414" t="s">
        <v>446</v>
      </c>
      <c r="C25" s="454" t="s">
        <v>435</v>
      </c>
      <c r="D25" s="441">
        <v>2.1</v>
      </c>
      <c r="E25" s="61">
        <v>1.9</v>
      </c>
      <c r="F25" s="427"/>
      <c r="G25" s="428">
        <f t="shared" ref="G25:G52" si="0">(D25*1/2)+(E25*1/2)</f>
        <v>2</v>
      </c>
      <c r="H25" s="430"/>
      <c r="I25" s="429">
        <v>3</v>
      </c>
      <c r="J25" s="61">
        <v>54</v>
      </c>
      <c r="K25" s="414" t="s">
        <v>91</v>
      </c>
      <c r="P25" s="423"/>
    </row>
    <row r="26" spans="1:16" x14ac:dyDescent="0.3">
      <c r="A26" s="455">
        <v>4</v>
      </c>
      <c r="B26" s="414" t="s">
        <v>447</v>
      </c>
      <c r="C26" s="451" t="s">
        <v>513</v>
      </c>
      <c r="D26" s="441">
        <v>2.4</v>
      </c>
      <c r="E26" s="61">
        <v>2.2000000000000002</v>
      </c>
      <c r="F26" s="431"/>
      <c r="G26" s="428">
        <f t="shared" si="0"/>
        <v>2.2999999999999998</v>
      </c>
      <c r="H26" s="430"/>
      <c r="I26" s="429">
        <v>3</v>
      </c>
      <c r="J26" s="61">
        <v>54</v>
      </c>
      <c r="K26" s="414" t="s">
        <v>91</v>
      </c>
    </row>
    <row r="27" spans="1:16" ht="16.5" customHeight="1" x14ac:dyDescent="0.3">
      <c r="A27" s="450">
        <v>5</v>
      </c>
      <c r="B27" s="434" t="s">
        <v>448</v>
      </c>
      <c r="C27" s="456" t="s">
        <v>436</v>
      </c>
      <c r="D27" s="441">
        <v>2.4</v>
      </c>
      <c r="E27" s="61">
        <v>1.9</v>
      </c>
      <c r="F27" s="431"/>
      <c r="G27" s="428">
        <v>2.1</v>
      </c>
      <c r="H27" s="432"/>
      <c r="I27" s="429">
        <v>3</v>
      </c>
      <c r="J27" s="61">
        <v>54</v>
      </c>
      <c r="K27" s="414" t="s">
        <v>91</v>
      </c>
    </row>
    <row r="28" spans="1:16" x14ac:dyDescent="0.3">
      <c r="A28" s="450">
        <v>6</v>
      </c>
      <c r="B28" s="414" t="s">
        <v>449</v>
      </c>
      <c r="C28" s="454" t="s">
        <v>512</v>
      </c>
      <c r="D28" s="441">
        <v>2.1</v>
      </c>
      <c r="E28" s="61">
        <v>1.9</v>
      </c>
      <c r="F28" s="431"/>
      <c r="G28" s="428">
        <f t="shared" si="0"/>
        <v>2</v>
      </c>
      <c r="H28" s="432"/>
      <c r="I28" s="429">
        <v>3</v>
      </c>
      <c r="J28" s="61">
        <v>54</v>
      </c>
      <c r="K28" s="414" t="s">
        <v>91</v>
      </c>
    </row>
    <row r="29" spans="1:16" ht="17.25" customHeight="1" x14ac:dyDescent="0.3">
      <c r="A29" s="457">
        <v>7</v>
      </c>
      <c r="B29" s="434" t="s">
        <v>450</v>
      </c>
      <c r="C29" s="456" t="s">
        <v>511</v>
      </c>
      <c r="D29" s="441">
        <v>2.5</v>
      </c>
      <c r="E29" s="61">
        <v>2.4</v>
      </c>
      <c r="F29" s="431"/>
      <c r="G29" s="428">
        <v>2.4</v>
      </c>
      <c r="H29" s="430"/>
      <c r="I29" s="429">
        <v>3</v>
      </c>
      <c r="J29" s="61">
        <v>54</v>
      </c>
      <c r="K29" s="414" t="s">
        <v>91</v>
      </c>
    </row>
    <row r="30" spans="1:16" x14ac:dyDescent="0.3">
      <c r="A30" s="450">
        <v>8</v>
      </c>
      <c r="B30" s="434" t="s">
        <v>451</v>
      </c>
      <c r="C30" s="456" t="s">
        <v>514</v>
      </c>
      <c r="D30" s="441">
        <v>2.6</v>
      </c>
      <c r="E30" s="444">
        <v>2</v>
      </c>
      <c r="F30" s="431"/>
      <c r="G30" s="428">
        <f t="shared" si="0"/>
        <v>2.2999999999999998</v>
      </c>
      <c r="H30" s="432"/>
      <c r="I30" s="429">
        <v>3</v>
      </c>
      <c r="J30" s="61">
        <v>51</v>
      </c>
      <c r="K30" s="414" t="s">
        <v>91</v>
      </c>
    </row>
    <row r="31" spans="1:16" ht="16.5" customHeight="1" x14ac:dyDescent="0.3">
      <c r="A31" s="450">
        <v>9</v>
      </c>
      <c r="B31" s="434" t="s">
        <v>452</v>
      </c>
      <c r="C31" s="456" t="s">
        <v>510</v>
      </c>
      <c r="D31" s="441">
        <v>2.2999999999999998</v>
      </c>
      <c r="E31" s="61">
        <v>2.1</v>
      </c>
      <c r="F31" s="431"/>
      <c r="G31" s="428">
        <f t="shared" si="0"/>
        <v>2.2000000000000002</v>
      </c>
      <c r="H31" s="430"/>
      <c r="I31" s="429">
        <v>3</v>
      </c>
      <c r="J31" s="61">
        <v>52.5</v>
      </c>
      <c r="K31" s="414" t="s">
        <v>91</v>
      </c>
    </row>
    <row r="32" spans="1:16" x14ac:dyDescent="0.3">
      <c r="A32" s="450">
        <v>10</v>
      </c>
      <c r="B32" s="434" t="s">
        <v>453</v>
      </c>
      <c r="C32" s="456" t="s">
        <v>509</v>
      </c>
      <c r="D32" s="441">
        <v>2.4</v>
      </c>
      <c r="E32" s="61">
        <v>1.7</v>
      </c>
      <c r="F32" s="431"/>
      <c r="G32" s="428">
        <v>2</v>
      </c>
      <c r="H32" s="430"/>
      <c r="I32" s="429">
        <v>3</v>
      </c>
      <c r="J32" s="61">
        <v>54</v>
      </c>
      <c r="K32" s="414" t="s">
        <v>91</v>
      </c>
    </row>
    <row r="33" spans="1:11" x14ac:dyDescent="0.3">
      <c r="A33" s="452">
        <v>11</v>
      </c>
      <c r="B33" s="434" t="s">
        <v>454</v>
      </c>
      <c r="C33" s="456" t="s">
        <v>508</v>
      </c>
      <c r="D33" s="441">
        <v>2.2999999999999998</v>
      </c>
      <c r="E33" s="61">
        <v>1.9</v>
      </c>
      <c r="F33" s="431"/>
      <c r="G33" s="428">
        <f t="shared" si="0"/>
        <v>2.0999999999999996</v>
      </c>
      <c r="H33" s="430"/>
      <c r="I33" s="429">
        <v>3</v>
      </c>
      <c r="J33" s="61">
        <v>54</v>
      </c>
      <c r="K33" s="414" t="s">
        <v>91</v>
      </c>
    </row>
    <row r="34" spans="1:11" x14ac:dyDescent="0.3">
      <c r="A34" s="450">
        <v>12</v>
      </c>
      <c r="B34" s="434" t="s">
        <v>455</v>
      </c>
      <c r="C34" s="456" t="s">
        <v>507</v>
      </c>
      <c r="D34" s="441">
        <v>1.9</v>
      </c>
      <c r="E34" s="61">
        <v>1.7</v>
      </c>
      <c r="F34" s="431"/>
      <c r="G34" s="428">
        <f t="shared" si="0"/>
        <v>1.7999999999999998</v>
      </c>
      <c r="H34" s="430"/>
      <c r="I34" s="429">
        <v>3</v>
      </c>
      <c r="J34" s="61">
        <v>54</v>
      </c>
      <c r="K34" s="414" t="s">
        <v>91</v>
      </c>
    </row>
    <row r="35" spans="1:11" ht="17.25" customHeight="1" x14ac:dyDescent="0.3">
      <c r="A35" s="450">
        <v>13</v>
      </c>
      <c r="B35" s="434" t="s">
        <v>456</v>
      </c>
      <c r="C35" s="456" t="s">
        <v>506</v>
      </c>
      <c r="D35" s="441">
        <v>2.4</v>
      </c>
      <c r="E35" s="61">
        <v>1.8</v>
      </c>
      <c r="F35" s="431"/>
      <c r="G35" s="428">
        <f t="shared" si="0"/>
        <v>2.1</v>
      </c>
      <c r="H35" s="430"/>
      <c r="I35" s="429">
        <v>3</v>
      </c>
      <c r="J35" s="61">
        <v>52.5</v>
      </c>
      <c r="K35" s="414" t="s">
        <v>91</v>
      </c>
    </row>
    <row r="36" spans="1:11" ht="15.75" customHeight="1" x14ac:dyDescent="0.3">
      <c r="A36" s="452">
        <v>14</v>
      </c>
      <c r="B36" s="434" t="s">
        <v>457</v>
      </c>
      <c r="C36" s="456" t="s">
        <v>505</v>
      </c>
      <c r="D36" s="441">
        <v>2.4</v>
      </c>
      <c r="E36" s="61">
        <v>2.4</v>
      </c>
      <c r="F36" s="431"/>
      <c r="G36" s="428">
        <f t="shared" si="0"/>
        <v>2.4</v>
      </c>
      <c r="H36" s="430"/>
      <c r="I36" s="429">
        <v>3</v>
      </c>
      <c r="J36" s="61">
        <v>54</v>
      </c>
      <c r="K36" s="414" t="s">
        <v>91</v>
      </c>
    </row>
    <row r="37" spans="1:11" x14ac:dyDescent="0.3">
      <c r="A37" s="452">
        <v>15</v>
      </c>
      <c r="B37" s="414" t="s">
        <v>458</v>
      </c>
      <c r="C37" s="454" t="s">
        <v>504</v>
      </c>
      <c r="D37" s="441">
        <v>2.5</v>
      </c>
      <c r="E37" s="444">
        <v>2</v>
      </c>
      <c r="F37" s="431"/>
      <c r="G37" s="428">
        <v>2.2000000000000002</v>
      </c>
      <c r="H37" s="430"/>
      <c r="I37" s="429">
        <v>3</v>
      </c>
      <c r="J37" s="61">
        <v>54</v>
      </c>
      <c r="K37" s="414" t="s">
        <v>91</v>
      </c>
    </row>
    <row r="38" spans="1:11" x14ac:dyDescent="0.3">
      <c r="A38" s="452">
        <v>16</v>
      </c>
      <c r="B38" s="414" t="s">
        <v>459</v>
      </c>
      <c r="C38" s="456" t="s">
        <v>503</v>
      </c>
      <c r="D38" s="443">
        <v>2.7</v>
      </c>
      <c r="E38" s="61" t="s">
        <v>93</v>
      </c>
      <c r="F38" s="431"/>
      <c r="G38" s="428" t="s">
        <v>95</v>
      </c>
      <c r="H38" s="430"/>
      <c r="I38" s="429">
        <v>0</v>
      </c>
      <c r="J38" s="61">
        <v>24</v>
      </c>
      <c r="K38" s="458">
        <v>46003</v>
      </c>
    </row>
    <row r="39" spans="1:11" x14ac:dyDescent="0.3">
      <c r="A39" s="450">
        <v>17</v>
      </c>
      <c r="B39" s="414" t="s">
        <v>460</v>
      </c>
      <c r="C39" s="454" t="s">
        <v>437</v>
      </c>
      <c r="D39" s="441">
        <v>2.2999999999999998</v>
      </c>
      <c r="E39" s="61">
        <v>2.2999999999999998</v>
      </c>
      <c r="F39" s="431"/>
      <c r="G39" s="428">
        <f t="shared" si="0"/>
        <v>2.2999999999999998</v>
      </c>
      <c r="H39" s="430"/>
      <c r="I39" s="429">
        <v>3</v>
      </c>
      <c r="J39" s="61">
        <v>54</v>
      </c>
      <c r="K39" s="414" t="s">
        <v>91</v>
      </c>
    </row>
    <row r="40" spans="1:11" x14ac:dyDescent="0.3">
      <c r="A40" s="452">
        <v>18</v>
      </c>
      <c r="B40" s="414" t="s">
        <v>461</v>
      </c>
      <c r="C40" s="454" t="s">
        <v>502</v>
      </c>
      <c r="D40" s="441">
        <v>2.5</v>
      </c>
      <c r="E40" s="444">
        <v>2</v>
      </c>
      <c r="F40" s="431"/>
      <c r="G40" s="428">
        <v>2.2000000000000002</v>
      </c>
      <c r="H40" s="432"/>
      <c r="I40" s="429">
        <v>3</v>
      </c>
      <c r="J40" s="61">
        <v>54</v>
      </c>
      <c r="K40" s="414" t="s">
        <v>91</v>
      </c>
    </row>
    <row r="41" spans="1:11" x14ac:dyDescent="0.3">
      <c r="A41" s="450">
        <v>19</v>
      </c>
      <c r="B41" s="414" t="s">
        <v>462</v>
      </c>
      <c r="C41" s="438" t="s">
        <v>501</v>
      </c>
      <c r="D41" s="441">
        <v>2.5</v>
      </c>
      <c r="E41" s="61">
        <v>1.8</v>
      </c>
      <c r="F41" s="431"/>
      <c r="G41" s="428">
        <v>2.1</v>
      </c>
      <c r="H41" s="430"/>
      <c r="I41" s="429">
        <v>3</v>
      </c>
      <c r="J41" s="61">
        <v>54</v>
      </c>
      <c r="K41" s="414" t="s">
        <v>91</v>
      </c>
    </row>
    <row r="42" spans="1:11" x14ac:dyDescent="0.3">
      <c r="A42" s="450">
        <v>20</v>
      </c>
      <c r="B42" s="414" t="s">
        <v>463</v>
      </c>
      <c r="C42" s="438" t="s">
        <v>438</v>
      </c>
      <c r="D42" s="441">
        <v>2.7</v>
      </c>
      <c r="E42" s="444">
        <v>2</v>
      </c>
      <c r="F42" s="433"/>
      <c r="G42" s="428">
        <v>2.2999999999999998</v>
      </c>
      <c r="H42" s="432"/>
      <c r="I42" s="429">
        <v>3</v>
      </c>
      <c r="J42" s="61">
        <v>54</v>
      </c>
      <c r="K42" s="414" t="s">
        <v>91</v>
      </c>
    </row>
    <row r="43" spans="1:11" x14ac:dyDescent="0.3">
      <c r="A43" s="450">
        <v>21</v>
      </c>
      <c r="B43" s="414" t="s">
        <v>463</v>
      </c>
      <c r="C43" s="438" t="s">
        <v>500</v>
      </c>
      <c r="D43" s="441">
        <v>2.2999999999999998</v>
      </c>
      <c r="E43" s="61">
        <v>1.8</v>
      </c>
      <c r="F43" s="431"/>
      <c r="G43" s="428">
        <v>2</v>
      </c>
      <c r="H43" s="430"/>
      <c r="I43" s="429">
        <v>3</v>
      </c>
      <c r="J43" s="61">
        <v>54</v>
      </c>
      <c r="K43" s="414" t="s">
        <v>91</v>
      </c>
    </row>
    <row r="44" spans="1:11" ht="15" customHeight="1" x14ac:dyDescent="0.3">
      <c r="A44" s="450">
        <v>22</v>
      </c>
      <c r="B44" s="414" t="s">
        <v>464</v>
      </c>
      <c r="C44" s="438" t="s">
        <v>499</v>
      </c>
      <c r="D44" s="441">
        <v>2.5</v>
      </c>
      <c r="E44" s="61">
        <v>1.7</v>
      </c>
      <c r="F44" s="431"/>
      <c r="G44" s="428">
        <f t="shared" si="0"/>
        <v>2.1</v>
      </c>
      <c r="H44" s="430"/>
      <c r="I44" s="429">
        <v>3</v>
      </c>
      <c r="J44" s="61">
        <v>51</v>
      </c>
      <c r="K44" s="414" t="s">
        <v>91</v>
      </c>
    </row>
    <row r="45" spans="1:11" x14ac:dyDescent="0.3">
      <c r="A45" s="450">
        <v>23</v>
      </c>
      <c r="B45" s="414" t="s">
        <v>465</v>
      </c>
      <c r="C45" s="438" t="s">
        <v>498</v>
      </c>
      <c r="D45" s="441">
        <v>2.7</v>
      </c>
      <c r="E45" s="61">
        <v>2.1</v>
      </c>
      <c r="F45" s="431"/>
      <c r="G45" s="428">
        <f t="shared" si="0"/>
        <v>2.4000000000000004</v>
      </c>
      <c r="H45" s="430"/>
      <c r="I45" s="429">
        <v>3</v>
      </c>
      <c r="J45" s="61">
        <v>54</v>
      </c>
      <c r="K45" s="414" t="s">
        <v>91</v>
      </c>
    </row>
    <row r="46" spans="1:11" x14ac:dyDescent="0.3">
      <c r="A46" s="450">
        <v>24</v>
      </c>
      <c r="B46" s="414" t="s">
        <v>466</v>
      </c>
      <c r="C46" s="438" t="s">
        <v>439</v>
      </c>
      <c r="D46" s="441">
        <v>2.7</v>
      </c>
      <c r="E46" s="61">
        <v>2.4</v>
      </c>
      <c r="F46" s="431"/>
      <c r="G46" s="428">
        <v>2.5</v>
      </c>
      <c r="H46" s="430"/>
      <c r="I46" s="429">
        <v>3</v>
      </c>
      <c r="J46" s="61">
        <v>54</v>
      </c>
      <c r="K46" s="414" t="s">
        <v>91</v>
      </c>
    </row>
    <row r="47" spans="1:11" x14ac:dyDescent="0.3">
      <c r="A47" s="450">
        <v>25</v>
      </c>
      <c r="B47" s="414" t="s">
        <v>467</v>
      </c>
      <c r="C47" s="438" t="s">
        <v>477</v>
      </c>
      <c r="D47" s="442">
        <v>2</v>
      </c>
      <c r="E47" s="61">
        <v>2.1</v>
      </c>
      <c r="F47" s="431"/>
      <c r="G47" s="428">
        <v>2</v>
      </c>
      <c r="H47" s="432"/>
      <c r="I47" s="429">
        <v>3</v>
      </c>
      <c r="J47" s="61">
        <v>54</v>
      </c>
      <c r="K47" s="414" t="s">
        <v>91</v>
      </c>
    </row>
    <row r="48" spans="1:11" x14ac:dyDescent="0.3">
      <c r="A48" s="450">
        <v>26</v>
      </c>
      <c r="B48" s="414" t="s">
        <v>468</v>
      </c>
      <c r="C48" s="438" t="s">
        <v>478</v>
      </c>
      <c r="D48" s="441">
        <v>1.6</v>
      </c>
      <c r="E48" s="61">
        <v>1.7</v>
      </c>
      <c r="F48" s="431"/>
      <c r="G48" s="428">
        <v>1.6</v>
      </c>
      <c r="H48" s="430"/>
      <c r="I48" s="429">
        <v>3</v>
      </c>
      <c r="J48" s="61">
        <v>54</v>
      </c>
      <c r="K48" s="414" t="s">
        <v>91</v>
      </c>
    </row>
    <row r="49" spans="1:15" ht="15" customHeight="1" x14ac:dyDescent="0.3">
      <c r="A49" s="450">
        <v>27</v>
      </c>
      <c r="B49" s="414" t="s">
        <v>469</v>
      </c>
      <c r="C49" s="438" t="s">
        <v>491</v>
      </c>
      <c r="D49" s="441">
        <v>2.4</v>
      </c>
      <c r="E49" s="61">
        <v>1.8</v>
      </c>
      <c r="F49" s="431"/>
      <c r="G49" s="428">
        <f t="shared" si="0"/>
        <v>2.1</v>
      </c>
      <c r="H49" s="430"/>
      <c r="I49" s="429">
        <v>3</v>
      </c>
      <c r="J49" s="61">
        <v>54</v>
      </c>
      <c r="K49" s="414" t="s">
        <v>91</v>
      </c>
    </row>
    <row r="50" spans="1:15" x14ac:dyDescent="0.3">
      <c r="A50" s="450">
        <v>28</v>
      </c>
      <c r="B50" s="414" t="s">
        <v>470</v>
      </c>
      <c r="C50" s="438" t="s">
        <v>440</v>
      </c>
      <c r="D50" s="442">
        <v>2</v>
      </c>
      <c r="E50" s="61">
        <v>1.8</v>
      </c>
      <c r="F50" s="431"/>
      <c r="G50" s="428">
        <f t="shared" si="0"/>
        <v>1.9</v>
      </c>
      <c r="H50" s="430"/>
      <c r="I50" s="429">
        <v>3</v>
      </c>
      <c r="J50" s="61">
        <v>52.5</v>
      </c>
      <c r="K50" s="414" t="s">
        <v>91</v>
      </c>
    </row>
    <row r="51" spans="1:15" x14ac:dyDescent="0.3">
      <c r="A51" s="450">
        <v>29</v>
      </c>
      <c r="B51" s="434" t="s">
        <v>471</v>
      </c>
      <c r="C51" s="439" t="s">
        <v>497</v>
      </c>
      <c r="D51" s="441">
        <v>2.2000000000000002</v>
      </c>
      <c r="E51" s="61">
        <v>1.6</v>
      </c>
      <c r="F51" s="431"/>
      <c r="G51" s="428">
        <f t="shared" si="0"/>
        <v>1.9000000000000001</v>
      </c>
      <c r="H51" s="430"/>
      <c r="I51" s="429">
        <v>3</v>
      </c>
      <c r="J51" s="61">
        <v>54</v>
      </c>
      <c r="K51" s="414" t="s">
        <v>91</v>
      </c>
    </row>
    <row r="52" spans="1:15" x14ac:dyDescent="0.3">
      <c r="A52" s="450">
        <v>30</v>
      </c>
      <c r="B52" s="414" t="s">
        <v>471</v>
      </c>
      <c r="C52" s="438" t="s">
        <v>496</v>
      </c>
      <c r="D52" s="441">
        <v>2.1</v>
      </c>
      <c r="E52" s="61">
        <v>1.9</v>
      </c>
      <c r="F52" s="431"/>
      <c r="G52" s="428">
        <f t="shared" si="0"/>
        <v>2</v>
      </c>
      <c r="H52" s="430"/>
      <c r="I52" s="429">
        <v>3</v>
      </c>
      <c r="J52" s="61">
        <v>52.5</v>
      </c>
      <c r="K52" s="414" t="s">
        <v>91</v>
      </c>
    </row>
    <row r="53" spans="1:15" x14ac:dyDescent="0.3">
      <c r="A53" s="450">
        <v>31</v>
      </c>
      <c r="B53" s="414" t="s">
        <v>443</v>
      </c>
      <c r="C53" s="438" t="s">
        <v>441</v>
      </c>
      <c r="D53" s="441">
        <v>2.1</v>
      </c>
      <c r="E53" s="61">
        <v>1.8</v>
      </c>
      <c r="F53" s="431"/>
      <c r="G53" s="428">
        <v>1.9</v>
      </c>
      <c r="H53" s="430"/>
      <c r="I53" s="429">
        <v>3</v>
      </c>
      <c r="J53" s="61">
        <v>54</v>
      </c>
      <c r="K53" s="414" t="s">
        <v>91</v>
      </c>
    </row>
    <row r="54" spans="1:15" x14ac:dyDescent="0.3">
      <c r="A54" s="450">
        <v>32</v>
      </c>
      <c r="B54" s="414" t="s">
        <v>444</v>
      </c>
      <c r="C54" s="439" t="s">
        <v>442</v>
      </c>
      <c r="D54" s="441">
        <v>2.6</v>
      </c>
      <c r="E54" s="61">
        <v>2.1</v>
      </c>
      <c r="F54" s="431"/>
      <c r="G54" s="428">
        <v>2.2999999999999998</v>
      </c>
      <c r="H54" s="430"/>
      <c r="I54" s="429">
        <v>3</v>
      </c>
      <c r="J54" s="61">
        <v>54</v>
      </c>
      <c r="K54" s="414" t="s">
        <v>91</v>
      </c>
    </row>
    <row r="55" spans="1:15" ht="10.199999999999999" customHeight="1" x14ac:dyDescent="0.3">
      <c r="A55" s="40"/>
      <c r="B55" s="40"/>
      <c r="C55" s="33" t="s">
        <v>55</v>
      </c>
      <c r="D55" s="43"/>
      <c r="E55" s="43"/>
      <c r="F55" s="44"/>
      <c r="G55" s="43"/>
      <c r="H55" s="36"/>
      <c r="I55" s="186"/>
      <c r="J55" s="50"/>
      <c r="K55" s="12"/>
    </row>
    <row r="56" spans="1:15" x14ac:dyDescent="0.3">
      <c r="A56" s="24"/>
      <c r="B56" s="25"/>
      <c r="C56" s="26"/>
      <c r="D56" s="27"/>
      <c r="E56" s="27"/>
      <c r="F56" s="27"/>
      <c r="G56" s="28"/>
      <c r="H56" s="29"/>
      <c r="I56" s="30"/>
      <c r="J56" s="31"/>
      <c r="K56" s="32"/>
    </row>
    <row r="57" spans="1:15" ht="14.2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2"/>
      <c r="K57" s="3"/>
    </row>
    <row r="58" spans="1:15" x14ac:dyDescent="0.3">
      <c r="A58" s="3"/>
      <c r="B58" s="3"/>
      <c r="C58" s="3"/>
      <c r="D58" s="3"/>
      <c r="E58" s="3"/>
      <c r="F58" s="3"/>
      <c r="G58" s="3"/>
      <c r="H58" s="3"/>
      <c r="I58" s="3"/>
      <c r="J58" s="32"/>
      <c r="K58" s="3"/>
    </row>
    <row r="59" spans="1:15" x14ac:dyDescent="0.3">
      <c r="A59" s="3"/>
      <c r="B59" s="3"/>
      <c r="C59" s="3"/>
      <c r="D59" s="3"/>
      <c r="E59" s="3"/>
      <c r="F59" s="3"/>
      <c r="G59" s="3"/>
      <c r="H59" s="3"/>
      <c r="I59" s="3"/>
      <c r="J59" s="32"/>
      <c r="K59" s="3"/>
    </row>
    <row r="60" spans="1:15" x14ac:dyDescent="0.3">
      <c r="A60" s="3"/>
      <c r="B60" s="3"/>
      <c r="C60" s="3"/>
      <c r="D60" s="3"/>
      <c r="E60" s="3"/>
      <c r="F60" s="3"/>
      <c r="G60" s="3"/>
      <c r="H60" s="3"/>
      <c r="I60" s="3"/>
      <c r="J60" s="32"/>
      <c r="K60" s="3"/>
    </row>
    <row r="61" spans="1:15" x14ac:dyDescent="0.3">
      <c r="A61" s="3"/>
      <c r="B61" s="3"/>
      <c r="C61" s="3"/>
      <c r="D61" s="3"/>
      <c r="E61" s="3"/>
      <c r="F61" s="3"/>
      <c r="G61" s="3"/>
      <c r="H61" s="3"/>
      <c r="I61" s="3"/>
      <c r="J61" s="32"/>
      <c r="K61" s="3"/>
    </row>
    <row r="62" spans="1:15" ht="23.2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2"/>
      <c r="K62" s="3"/>
    </row>
    <row r="63" spans="1:15" ht="33.75" customHeight="1" x14ac:dyDescent="0.3">
      <c r="O63" t="s">
        <v>96</v>
      </c>
    </row>
    <row r="64" spans="1:15" ht="36" customHeight="1" x14ac:dyDescent="0.3"/>
    <row r="65" spans="1:11" ht="18" customHeight="1" x14ac:dyDescent="0.3">
      <c r="A65" s="530" t="s">
        <v>490</v>
      </c>
      <c r="B65" s="531"/>
      <c r="C65" s="531"/>
      <c r="D65" s="531"/>
      <c r="E65" s="531"/>
      <c r="F65" s="531"/>
      <c r="G65" s="531"/>
      <c r="H65" s="531"/>
      <c r="I65" s="531"/>
      <c r="J65" s="531"/>
      <c r="K65" s="531"/>
    </row>
    <row r="66" spans="1:11" ht="10.8" customHeight="1" x14ac:dyDescent="0.3">
      <c r="A66" s="536"/>
      <c r="B66" s="537"/>
      <c r="C66" s="537"/>
      <c r="D66" s="537"/>
      <c r="E66" s="537"/>
      <c r="F66" s="537"/>
      <c r="G66" s="537"/>
      <c r="H66" s="537"/>
      <c r="I66" s="537"/>
      <c r="J66" s="537"/>
      <c r="K66" s="537"/>
    </row>
    <row r="67" spans="1:11" ht="16.5" customHeight="1" x14ac:dyDescent="0.3">
      <c r="B67" s="1"/>
    </row>
    <row r="68" spans="1:11" x14ac:dyDescent="0.3">
      <c r="B68" s="2"/>
    </row>
    <row r="69" spans="1:11" x14ac:dyDescent="0.3">
      <c r="B69" s="1"/>
    </row>
    <row r="70" spans="1:11" x14ac:dyDescent="0.3">
      <c r="A70" s="3"/>
      <c r="B70" s="3"/>
      <c r="C70" s="3"/>
      <c r="D70" s="3"/>
      <c r="E70" s="3"/>
      <c r="F70" s="3"/>
      <c r="G70" s="3"/>
      <c r="H70" s="3"/>
      <c r="I70" s="3"/>
      <c r="J70" s="32"/>
      <c r="K70" s="3"/>
    </row>
    <row r="71" spans="1:11" x14ac:dyDescent="0.3">
      <c r="A71" s="35"/>
      <c r="B71" s="13"/>
      <c r="C71" s="13"/>
      <c r="D71" s="13"/>
      <c r="E71" s="13"/>
      <c r="F71" s="13"/>
      <c r="G71" s="13"/>
      <c r="H71" s="13"/>
      <c r="I71" s="13"/>
      <c r="J71" s="15"/>
      <c r="K71" s="13"/>
    </row>
    <row r="72" spans="1:11" x14ac:dyDescent="0.3">
      <c r="A72" s="538"/>
      <c r="B72" s="538"/>
      <c r="C72" s="538"/>
      <c r="D72" s="538"/>
      <c r="E72" s="538"/>
      <c r="F72" s="538"/>
      <c r="G72" s="538"/>
      <c r="H72" s="538"/>
      <c r="I72" s="538"/>
      <c r="J72" s="538"/>
      <c r="K72" s="538"/>
    </row>
    <row r="73" spans="1:11" x14ac:dyDescent="0.3">
      <c r="A73" s="539"/>
      <c r="B73" s="539"/>
      <c r="C73" s="539"/>
      <c r="D73" s="539"/>
      <c r="E73" s="539"/>
      <c r="F73" s="539"/>
      <c r="G73" s="539"/>
      <c r="H73" s="539"/>
      <c r="I73" s="539"/>
      <c r="J73" s="539"/>
      <c r="K73" s="539"/>
    </row>
    <row r="74" spans="1:11" x14ac:dyDescent="0.3">
      <c r="A74" s="539"/>
      <c r="B74" s="539"/>
      <c r="C74" s="539"/>
      <c r="D74" s="539"/>
      <c r="E74" s="539"/>
      <c r="F74" s="539"/>
      <c r="G74" s="539"/>
      <c r="H74" s="539"/>
      <c r="I74" s="539"/>
      <c r="J74" s="539"/>
      <c r="K74" s="539"/>
    </row>
    <row r="75" spans="1:11" x14ac:dyDescent="0.3">
      <c r="A75" s="13"/>
      <c r="B75" s="13"/>
      <c r="C75" s="13"/>
      <c r="D75" s="13"/>
      <c r="E75" s="13"/>
      <c r="F75" s="13"/>
      <c r="G75" s="13"/>
      <c r="H75" s="13"/>
      <c r="I75" s="13"/>
      <c r="J75" s="15"/>
      <c r="K75" s="13"/>
    </row>
    <row r="76" spans="1:11" x14ac:dyDescent="0.3">
      <c r="A76" s="13"/>
      <c r="B76" s="13"/>
      <c r="C76" s="13"/>
      <c r="D76" s="13"/>
      <c r="E76" s="13"/>
      <c r="F76" s="13"/>
      <c r="H76" s="14"/>
      <c r="I76" s="13"/>
      <c r="J76" s="15"/>
      <c r="K76" s="15"/>
    </row>
    <row r="77" spans="1:11" x14ac:dyDescent="0.3">
      <c r="A77" s="13"/>
      <c r="B77" s="13"/>
      <c r="C77" s="13"/>
      <c r="D77" s="13"/>
      <c r="E77" s="13"/>
      <c r="F77" s="13"/>
      <c r="J77"/>
    </row>
    <row r="78" spans="1:11" ht="15" customHeight="1" x14ac:dyDescent="0.3">
      <c r="A78" s="13"/>
      <c r="B78" s="13"/>
      <c r="C78" s="13"/>
      <c r="D78" s="13"/>
      <c r="E78" s="13"/>
      <c r="F78" s="13"/>
      <c r="J78"/>
    </row>
    <row r="79" spans="1:11" ht="15" customHeight="1" x14ac:dyDescent="0.3">
      <c r="A79" s="13"/>
      <c r="B79" s="13"/>
      <c r="C79" s="13"/>
      <c r="D79" s="13"/>
      <c r="E79" s="13"/>
      <c r="F79" s="13"/>
      <c r="J79"/>
    </row>
    <row r="80" spans="1:11" ht="14.25" customHeight="1" x14ac:dyDescent="0.3">
      <c r="A80" s="13"/>
      <c r="B80" s="13"/>
      <c r="C80" s="13"/>
      <c r="D80" s="13"/>
      <c r="E80" s="13"/>
      <c r="F80" s="13"/>
      <c r="J80"/>
    </row>
  </sheetData>
  <autoFilter ref="A19:K55" xr:uid="{00000000-0009-0000-0000-000009000000}">
    <filterColumn colId="3" showButton="0"/>
    <filterColumn colId="4" showButton="0"/>
    <filterColumn colId="5" showButton="0"/>
  </autoFilter>
  <mergeCells count="16">
    <mergeCell ref="A74:K74"/>
    <mergeCell ref="A7:K7"/>
    <mergeCell ref="A8:K8"/>
    <mergeCell ref="A9:K9"/>
    <mergeCell ref="A19:A20"/>
    <mergeCell ref="B19:B20"/>
    <mergeCell ref="C19:C20"/>
    <mergeCell ref="D19:G19"/>
    <mergeCell ref="H19:H20"/>
    <mergeCell ref="I19:I20"/>
    <mergeCell ref="J19:J20"/>
    <mergeCell ref="K19:K20"/>
    <mergeCell ref="A65:K65"/>
    <mergeCell ref="A66:K66"/>
    <mergeCell ref="A72:K72"/>
    <mergeCell ref="A73:K73"/>
  </mergeCells>
  <pageMargins left="0.51181102362204722" right="0.31496062992125984" top="0.27559055118110237" bottom="0.19685039370078741" header="0.19685039370078741" footer="0.19685039370078741"/>
  <pageSetup paperSize="14" scale="90" fitToHeight="0" orientation="portrait" horizontalDpi="4294967292" vertic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9</vt:i4>
      </vt:variant>
    </vt:vector>
  </HeadingPairs>
  <TitlesOfParts>
    <vt:vector size="19" baseType="lpstr">
      <vt:lpstr>INC</vt:lpstr>
      <vt:lpstr>HVACR</vt:lpstr>
      <vt:lpstr>AT</vt:lpstr>
      <vt:lpstr>ET </vt:lpstr>
      <vt:lpstr>BIO</vt:lpstr>
      <vt:lpstr>GS HVACR</vt:lpstr>
      <vt:lpstr>CT 2H&amp;1D</vt:lpstr>
      <vt:lpstr>GS AT 1D</vt:lpstr>
      <vt:lpstr>GS ET</vt:lpstr>
      <vt:lpstr>GS BIO</vt:lpstr>
      <vt:lpstr>BIO!Print_Area</vt:lpstr>
      <vt:lpstr>'CT 2H&amp;1D'!Print_Area</vt:lpstr>
      <vt:lpstr>'ET '!Print_Area</vt:lpstr>
      <vt:lpstr>'GS AT 1D'!Print_Area</vt:lpstr>
      <vt:lpstr>'GS BIO'!Print_Area</vt:lpstr>
      <vt:lpstr>'GS ET'!Print_Area</vt:lpstr>
      <vt:lpstr>'GS HVACR'!Print_Area</vt:lpstr>
      <vt:lpstr>HVACR!Print_Area</vt:lpstr>
      <vt:lpstr>INC!Print_Area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2026-01-05T10:23:32Z</cp:lastPrinted>
  <dcterms:created xsi:type="dcterms:W3CDTF">2015-07-28T06:50:59Z</dcterms:created>
  <dcterms:modified xsi:type="dcterms:W3CDTF">2026-01-05T10:23:50Z</dcterms:modified>
</cp:coreProperties>
</file>